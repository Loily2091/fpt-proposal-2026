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HÁCH HÀNG\2026\FPT - 100 khách - tháng 7\"/>
    </mc:Choice>
  </mc:AlternateContent>
  <xr:revisionPtr revIDLastSave="0" documentId="13_ncr:1_{F36C016B-FB3C-4E07-8122-14F0C817F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ÒN SƠN" sheetId="2" r:id="rId1"/>
    <sheet name="TIMELINE CHƯƠNG TRÌNH HÒN SƠN" sheetId="3" r:id="rId2"/>
    <sheet name="ĐÀ LẠT" sheetId="6" r:id="rId3"/>
    <sheet name="TIMELINE CHƯƠNG TRÌNH ĐÀ LẠT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xzTEEmWEeudQ5UtGskqvR59Eqne4Lx3vNfpaj9EDu0Y="/>
    </ext>
  </extLst>
</workbook>
</file>

<file path=xl/calcChain.xml><?xml version="1.0" encoding="utf-8"?>
<calcChain xmlns="http://schemas.openxmlformats.org/spreadsheetml/2006/main">
  <c r="E31" i="2" l="1"/>
  <c r="E27" i="2"/>
  <c r="H27" i="2" s="1"/>
  <c r="E20" i="2"/>
  <c r="H20" i="2" s="1"/>
  <c r="E16" i="2"/>
  <c r="H16" i="2" s="1"/>
  <c r="G15" i="2" s="1"/>
  <c r="E14" i="2"/>
  <c r="H14" i="2" s="1"/>
  <c r="E13" i="2"/>
  <c r="E16" i="6"/>
  <c r="H36" i="6"/>
  <c r="E30" i="6"/>
  <c r="H30" i="6" s="1"/>
  <c r="H31" i="6"/>
  <c r="H27" i="6"/>
  <c r="H14" i="6"/>
  <c r="H28" i="2"/>
  <c r="H24" i="2"/>
  <c r="E33" i="2"/>
  <c r="H33" i="2" s="1"/>
  <c r="H31" i="2"/>
  <c r="E30" i="2"/>
  <c r="H30" i="2" s="1"/>
  <c r="E29" i="2"/>
  <c r="H29" i="2" s="1"/>
  <c r="E21" i="2"/>
  <c r="H21" i="2" s="1"/>
  <c r="H38" i="6"/>
  <c r="H37" i="6"/>
  <c r="H35" i="6"/>
  <c r="H34" i="6"/>
  <c r="H33" i="6"/>
  <c r="H32" i="6"/>
  <c r="H28" i="6"/>
  <c r="H26" i="6"/>
  <c r="H24" i="6"/>
  <c r="H23" i="6"/>
  <c r="H22" i="6"/>
  <c r="H21" i="6"/>
  <c r="E20" i="6"/>
  <c r="H20" i="6" s="1"/>
  <c r="E19" i="6"/>
  <c r="H19" i="6" s="1"/>
  <c r="H18" i="6"/>
  <c r="H16" i="6"/>
  <c r="G15" i="6" s="1"/>
  <c r="H13" i="6"/>
  <c r="H32" i="2"/>
  <c r="H25" i="2"/>
  <c r="H23" i="2"/>
  <c r="E19" i="2"/>
  <c r="H19" i="2" s="1"/>
  <c r="E18" i="2"/>
  <c r="H18" i="2" s="1"/>
  <c r="H13" i="2"/>
  <c r="G12" i="2" l="1"/>
  <c r="G12" i="6"/>
  <c r="G17" i="6"/>
  <c r="G25" i="6"/>
  <c r="H29" i="6"/>
  <c r="H26" i="2"/>
  <c r="G22" i="2"/>
  <c r="G17" i="2"/>
  <c r="H39" i="6" l="1"/>
  <c r="H34" i="2"/>
  <c r="H40" i="6" l="1"/>
  <c r="H35" i="2"/>
  <c r="H41" i="6" l="1"/>
  <c r="I37" i="2"/>
  <c r="H42" i="6" l="1"/>
  <c r="H43" i="6" s="1"/>
  <c r="H38" i="2"/>
  <c r="I39" i="2" s="1"/>
</calcChain>
</file>

<file path=xl/sharedStrings.xml><?xml version="1.0" encoding="utf-8"?>
<sst xmlns="http://schemas.openxmlformats.org/spreadsheetml/2006/main" count="233" uniqueCount="155">
  <si>
    <t>STT</t>
  </si>
  <si>
    <t>Hạng mục</t>
  </si>
  <si>
    <t>Tham Quan</t>
  </si>
  <si>
    <t>Số lượng :</t>
  </si>
  <si>
    <t>Mô tả chi tiết</t>
  </si>
  <si>
    <t>ĐVT</t>
  </si>
  <si>
    <t>SL</t>
  </si>
  <si>
    <t>Lần sử dụng</t>
  </si>
  <si>
    <t>Đơn giá</t>
  </si>
  <si>
    <t>Thành Tiền</t>
  </si>
  <si>
    <t>Dịch vụ chi tiết</t>
  </si>
  <si>
    <t>Ghi Chú</t>
  </si>
  <si>
    <t>PHƯƠNG TIỆN</t>
  </si>
  <si>
    <t>Xe</t>
  </si>
  <si>
    <t>LƯU TRÚ</t>
  </si>
  <si>
    <t>Phòng</t>
  </si>
  <si>
    <t xml:space="preserve">ĂN UỐNG </t>
  </si>
  <si>
    <t>Ăn sáng ngày 1</t>
  </si>
  <si>
    <t>Suất</t>
  </si>
  <si>
    <t>Tô + Ly</t>
  </si>
  <si>
    <t>Phần tô + ly / người</t>
  </si>
  <si>
    <t xml:space="preserve">Ăn trưa ngày 1 </t>
  </si>
  <si>
    <t>Ăn tối ngày 1</t>
  </si>
  <si>
    <t>Nhà hàng trung tâm</t>
  </si>
  <si>
    <t>Ăn trưa ngày 2</t>
  </si>
  <si>
    <t xml:space="preserve">Ăn tối ngày 2
</t>
  </si>
  <si>
    <t>GALA DINNER</t>
  </si>
  <si>
    <t>Ăn tối ngày 3</t>
  </si>
  <si>
    <t xml:space="preserve">NHÂN SỰ </t>
  </si>
  <si>
    <t>Hướng dẫn viên</t>
  </si>
  <si>
    <t>người</t>
  </si>
  <si>
    <t xml:space="preserve">Phục vụ suốt tuyến </t>
  </si>
  <si>
    <t>Ăn ngủ HDV</t>
  </si>
  <si>
    <t>Người</t>
  </si>
  <si>
    <t>CHI PHÍ KHÁC</t>
  </si>
  <si>
    <t>Nước uống</t>
  </si>
  <si>
    <t>Aquafina / Lavie</t>
  </si>
  <si>
    <t>Thùng</t>
  </si>
  <si>
    <t>2 chai/ ngày/ khách</t>
  </si>
  <si>
    <t>NGười</t>
  </si>
  <si>
    <t>Chi phí xe tham quan</t>
  </si>
  <si>
    <t>Phí Bãi xe các điểm tham quan</t>
  </si>
  <si>
    <t>Nón Du Lịch</t>
  </si>
  <si>
    <t>Nón</t>
  </si>
  <si>
    <t>Khăn lạnh</t>
  </si>
  <si>
    <t>Cái</t>
  </si>
  <si>
    <t>In ấn</t>
  </si>
  <si>
    <t>Treo xe và khách sạn</t>
  </si>
  <si>
    <t>Banner + Backdrop</t>
  </si>
  <si>
    <t>Bảo Hiểm</t>
  </si>
  <si>
    <t>Bảo Hiểm du lịch</t>
  </si>
  <si>
    <t>Gói</t>
  </si>
  <si>
    <t>Tổng cộng Dịch vụ chưa bao gồm VAT</t>
  </si>
  <si>
    <t>Phí tổ chức</t>
  </si>
  <si>
    <t>Tổng giá trị hợp đồng sau thuế</t>
  </si>
  <si>
    <t>Chi phí / khách</t>
  </si>
  <si>
    <t xml:space="preserve">STT </t>
  </si>
  <si>
    <t>THỜI GIAN</t>
  </si>
  <si>
    <t>HOẠT ĐỘNG</t>
  </si>
  <si>
    <t>ĐỊA ĐIỂM</t>
  </si>
  <si>
    <t>NỘI DUNG</t>
  </si>
  <si>
    <t>LƯU Ý</t>
  </si>
  <si>
    <t>Tối hôm trước ngày 1</t>
  </si>
  <si>
    <t>Trang phục gọn nhẹ, nghỉ ngơi trên xe</t>
  </si>
  <si>
    <t>Ngày 01</t>
  </si>
  <si>
    <t>Di chuyển về Khách sạn , nhận phòng nghỉ ngơi</t>
  </si>
  <si>
    <t>21:00 - 22:00</t>
  </si>
  <si>
    <t>Trở về Khách sạn . Nghỉ ngơi</t>
  </si>
  <si>
    <t>NGÀY 02</t>
  </si>
  <si>
    <t>06:30 - 08:00</t>
  </si>
  <si>
    <t>Dùng Điểm tâm sáng</t>
  </si>
  <si>
    <t>Khách sạn</t>
  </si>
  <si>
    <t>Buffet Sáng tại Nhà Hàng Khách sạn</t>
  </si>
  <si>
    <t>11:30 - 13:00</t>
  </si>
  <si>
    <t>18:00 - 22:00</t>
  </si>
  <si>
    <t>NGÀY 03</t>
  </si>
  <si>
    <t>06:30 - 08:30</t>
  </si>
  <si>
    <t>Buffet Sáng tại Nhà Hàng</t>
  </si>
  <si>
    <t>09:00 - 11:00</t>
  </si>
  <si>
    <t>Xe đưa về điểm đón ban đầu.</t>
  </si>
  <si>
    <t>10:00 - 11:00</t>
  </si>
  <si>
    <t>11:00 - 12:00</t>
  </si>
  <si>
    <t xml:space="preserve">Dùng cơm trưa tại Nhà Hàng </t>
  </si>
  <si>
    <t>12:00- 14:00</t>
  </si>
  <si>
    <t>BẢNG BÁO DỊCH VỤ CHI TIẾT THAM KHẢO ĐÀ LẠT</t>
  </si>
  <si>
    <t>Ăn Trưa ngày 3</t>
  </si>
  <si>
    <t>Nhà hàng trên đường về</t>
  </si>
  <si>
    <t>LANGBIANG LAND</t>
  </si>
  <si>
    <t>show</t>
  </si>
  <si>
    <t xml:space="preserve">CHƯƠNG TRÌNH TOUR DALAT
</t>
  </si>
  <si>
    <t>Đoàn tập trung tại điểm hẹn, Khởi hành đi TP. ĐÀ LẠT</t>
  </si>
  <si>
    <t>Tham quan Vườn Hồng</t>
  </si>
  <si>
    <t>Tham quan Chùa Linh Phước (Chùa Ve chai )</t>
  </si>
  <si>
    <t>14:30 -17:00</t>
  </si>
  <si>
    <t>17:00-18:00</t>
  </si>
  <si>
    <t>Dùng cơm chiều tại KDL LANGBIANG LAND</t>
  </si>
  <si>
    <t>18:00 - 20:00</t>
  </si>
  <si>
    <t>Tham gia giao lưu Cồng Chiêng,</t>
  </si>
  <si>
    <t>20:30 - 21:00</t>
  </si>
  <si>
    <t>08:00 - 11:00</t>
  </si>
  <si>
    <t>Dùng cơm trưa tại Nhà Hàng.</t>
  </si>
  <si>
    <t>13:00 - 16:00</t>
  </si>
  <si>
    <t>Trở về khách sạn, đoàn nghỉ ngơi, tự do khám phá Đà Lạt</t>
  </si>
  <si>
    <t>11:00 - 12:30</t>
  </si>
  <si>
    <t>18:30 - 21:00</t>
  </si>
  <si>
    <t>09:00 - 10:30</t>
  </si>
  <si>
    <t>11:00 - 12 :00</t>
  </si>
  <si>
    <t>Về đến Rạch Giá. Kết thúc chương trình</t>
  </si>
  <si>
    <t>CHƯƠNG TRÌNH COMPANY TRIP FPT 2026</t>
  </si>
  <si>
    <t>Hóa đơn VAT</t>
  </si>
  <si>
    <t>MC Teambuilding + Gala</t>
  </si>
  <si>
    <t>xe</t>
  </si>
  <si>
    <t>Xe 35 Chỗ</t>
  </si>
  <si>
    <t>8:00 - 10:30</t>
  </si>
  <si>
    <t>17:00</t>
  </si>
  <si>
    <t>Tham gia chương trình Teambuilding game</t>
  </si>
  <si>
    <t>Trả phòng, Tự do tham quan, mua sắm chợ Đà Lạt. Khởi hành về Rạch Giá</t>
  </si>
  <si>
    <t>Dùng cơm trưa ở Bảo Lộc</t>
  </si>
  <si>
    <t>Dùng cơm chiều tại Nhà Hàng Địa Phương</t>
  </si>
  <si>
    <t xml:space="preserve">Xe 45 CHỖ </t>
  </si>
  <si>
    <t>Nhà Hàng Bảo Lộc</t>
  </si>
  <si>
    <t>MC Team + Gala</t>
  </si>
  <si>
    <t>Thuế VAT</t>
  </si>
  <si>
    <t>Nhà hàng BUFFET Rau</t>
  </si>
  <si>
    <t>CHƯƠNG TRÌNH TOUR PHAN THIẾT</t>
  </si>
  <si>
    <t>Đồi Chè Cầu Đất</t>
  </si>
  <si>
    <t>Teambuilding game - AMAZING RACE</t>
  </si>
  <si>
    <t>Khách Sạn 3 sao ( Suất ngủ / khách )</t>
  </si>
  <si>
    <t>Suất ngủ</t>
  </si>
  <si>
    <t>Dùng điểm tâm sáng , Check in tại khu săn mây Đồi Chè Cầu Đất - Dùng điểm tâm sáng tại đây.</t>
  </si>
  <si>
    <t>Di chuyển lên KDL Langbiang Land. Đoàn tham gia các trò chơi vận động.</t>
  </si>
  <si>
    <t>Đoàn tập trung tại bến tàu, Làm thủ tục lên tàu khởi hành đi Hòn Sơn chuyến 06h30/ 07h30 / 09h00 ( Giờ khởi hành tùy theo ngày và Hãng tàu )</t>
  </si>
  <si>
    <t>Đoàn đến Hòn Sơn, Quý Khách nhận xe máy ngay tại bến tàu. Di chuyển về Khách sạn, Gửi hành lý và bắt đầu tham quan.</t>
  </si>
  <si>
    <t xml:space="preserve">Khám phá Hòn Sơn bằng xe máy. Tham quan Miếu Bà Chúa Xứ, con đường xuyên đảo, Thác nước, Đỉnh Yên Ngựa. </t>
  </si>
  <si>
    <t>Đoàn dùng cơm trưa. Nhận phòng nghỉ ngơi.</t>
  </si>
  <si>
    <t>14:00 - 17:00</t>
  </si>
  <si>
    <t>Đoàn di chuyển ra Bãi Bàng, Tham gia chương trình Teambuilding game. Sau đó tự do tắm biển Bãi Bàng</t>
  </si>
  <si>
    <t>Dùng Tiệc Gala dinner với nhiều trò chơi vui nhộn.</t>
  </si>
  <si>
    <t>Tự do khám phá Hòn Sơn về đêm</t>
  </si>
  <si>
    <t>Ngày 01 : HÒN SƠN - TEAMBUILDING GAME</t>
  </si>
  <si>
    <t>NGÀY 02 CHECK IN HÒN SƠN - RẠCH GIÁ</t>
  </si>
  <si>
    <t>Quý khách khởi hành tham quan :
1.Nhà Thùng nước mắm
2. Dinh Ông Nam Hải
3. Bãi Cây dừa nằm
4. Quán cafe ALUKLU 
5. FLYUP RESORT</t>
  </si>
  <si>
    <t>Đoàn trở về nơi lưu trú, trả phòng.</t>
  </si>
  <si>
    <t>Đoàn dùng cơm trưa sau đó khởi hành về chuyến tàu 12h00 / 12h45/ 13h15</t>
  </si>
  <si>
    <t>Vé tàu cao tốc</t>
  </si>
  <si>
    <t>Xe máy</t>
  </si>
  <si>
    <t>Nhà nghỉ tiêu chuẩn</t>
  </si>
  <si>
    <t>Yến Linh / Hồng Cúc/ Phương Duyên.</t>
  </si>
  <si>
    <t>Ăn sáng ngày 2</t>
  </si>
  <si>
    <t xml:space="preserve">Ăn ngủ HDV </t>
  </si>
  <si>
    <t>Âm thanh + Ánh Sáng  GALADINNER</t>
  </si>
  <si>
    <t>Bãi Bàng</t>
  </si>
  <si>
    <t>Chi phí Bãi Team.</t>
  </si>
  <si>
    <t>BẢNG BÁO DỊCH VỤ CHI TIẾT THAM KHẢO HÒN SƠN</t>
  </si>
  <si>
    <t>ROYAL PALACE / westeria/ Thành Đồng/ Lily Hotel  / Camelia / 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</si>
</sst>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"/>
    <numFmt numFmtId="165" formatCode="#,##0;[Red]#,##0"/>
    <numFmt numFmtId="166" formatCode="_(* #,##0_);_(* \(#,##0\);_(* &quot;-&quot;_);_(@_)"/>
    <numFmt numFmtId="167" formatCode="_-* #,##0.00_-;\-* #,##0.00_-;_-* &quot;-&quot;??_-;_-@"/>
  </numFmts>
  <fonts count="18" x14ac:knownFonts="1">
    <font>
      <sz val="10"/>
      <color rgb="FF000000"/>
      <name val="Arial"/>
      <scheme val="minor"/>
    </font>
    <font>
      <sz val="11"/>
      <color theme="1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0"/>
      <name val="Arial"/>
    </font>
    <font>
      <sz val="10"/>
      <color theme="1"/>
      <name val="Times New Roman"/>
    </font>
    <font>
      <sz val="10"/>
      <color rgb="FF000000"/>
      <name val="Times New Roman"/>
    </font>
    <font>
      <b/>
      <sz val="11"/>
      <color theme="0"/>
      <name val="Times New Roman"/>
    </font>
    <font>
      <sz val="10"/>
      <color theme="1"/>
      <name val="Times New Roman"/>
    </font>
    <font>
      <u/>
      <sz val="11"/>
      <color rgb="FF0000FF"/>
      <name val="Times New Roman"/>
    </font>
    <font>
      <i/>
      <sz val="11"/>
      <color theme="1"/>
      <name val="Times New Roman"/>
    </font>
    <font>
      <b/>
      <sz val="12"/>
      <color rgb="FF38761D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5" fillId="0" borderId="14" xfId="0" applyFont="1" applyBorder="1"/>
    <xf numFmtId="0" fontId="2" fillId="0" borderId="12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" fontId="3" fillId="4" borderId="23" xfId="0" applyNumberFormat="1" applyFont="1" applyFill="1" applyBorder="1" applyAlignment="1">
      <alignment horizontal="center" vertical="center" wrapText="1"/>
    </xf>
    <xf numFmtId="1" fontId="3" fillId="2" borderId="24" xfId="0" applyNumberFormat="1" applyFont="1" applyFill="1" applyBorder="1" applyAlignment="1">
      <alignment horizontal="center" vertical="center" wrapText="1"/>
    </xf>
    <xf numFmtId="1" fontId="3" fillId="2" borderId="26" xfId="0" applyNumberFormat="1" applyFont="1" applyFill="1" applyBorder="1" applyAlignment="1">
      <alignment horizontal="center" vertical="center" wrapText="1"/>
    </xf>
    <xf numFmtId="164" fontId="1" fillId="2" borderId="26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3" fillId="2" borderId="27" xfId="0" applyNumberFormat="1" applyFont="1" applyFill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3" fillId="4" borderId="32" xfId="0" applyNumberFormat="1" applyFont="1" applyFill="1" applyBorder="1" applyAlignment="1">
      <alignment horizontal="center" vertical="center" wrapText="1"/>
    </xf>
    <xf numFmtId="1" fontId="1" fillId="2" borderId="24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165" fontId="1" fillId="2" borderId="26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1" fontId="8" fillId="5" borderId="32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6" fontId="10" fillId="2" borderId="6" xfId="0" applyNumberFormat="1" applyFont="1" applyFill="1" applyBorder="1" applyAlignment="1">
      <alignment horizontal="center" vertical="center" wrapText="1"/>
    </xf>
    <xf numFmtId="166" fontId="1" fillId="2" borderId="7" xfId="0" applyNumberFormat="1" applyFont="1" applyFill="1" applyBorder="1" applyAlignment="1">
      <alignment horizontal="center" vertical="center" wrapText="1"/>
    </xf>
    <xf numFmtId="1" fontId="1" fillId="2" borderId="10" xfId="0" applyNumberFormat="1" applyFont="1" applyFill="1" applyBorder="1" applyAlignment="1">
      <alignment horizontal="center" vertical="center" wrapText="1"/>
    </xf>
    <xf numFmtId="166" fontId="1" fillId="2" borderId="11" xfId="0" applyNumberFormat="1" applyFont="1" applyFill="1" applyBorder="1" applyAlignment="1">
      <alignment horizontal="center" vertical="center" wrapText="1"/>
    </xf>
    <xf numFmtId="1" fontId="1" fillId="2" borderId="12" xfId="0" applyNumberFormat="1" applyFont="1" applyFill="1" applyBorder="1" applyAlignment="1">
      <alignment horizontal="center" vertical="center" wrapText="1"/>
    </xf>
    <xf numFmtId="0" fontId="5" fillId="0" borderId="36" xfId="0" applyFont="1" applyBorder="1"/>
    <xf numFmtId="164" fontId="8" fillId="5" borderId="3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3" fillId="0" borderId="0" xfId="0" applyNumberFormat="1" applyFont="1"/>
    <xf numFmtId="0" fontId="13" fillId="0" borderId="0" xfId="0" applyFont="1"/>
    <xf numFmtId="1" fontId="13" fillId="0" borderId="0" xfId="0" applyNumberFormat="1" applyFont="1"/>
    <xf numFmtId="1" fontId="3" fillId="8" borderId="6" xfId="0" applyNumberFormat="1" applyFont="1" applyFill="1" applyBorder="1" applyAlignment="1">
      <alignment horizontal="center" wrapText="1"/>
    </xf>
    <xf numFmtId="0" fontId="3" fillId="8" borderId="6" xfId="0" applyFont="1" applyFill="1" applyBorder="1" applyAlignment="1">
      <alignment horizontal="center" wrapText="1"/>
    </xf>
    <xf numFmtId="165" fontId="3" fillId="8" borderId="6" xfId="0" applyNumberFormat="1" applyFont="1" applyFill="1" applyBorder="1" applyAlignment="1">
      <alignment horizontal="center" wrapText="1"/>
    </xf>
    <xf numFmtId="1" fontId="3" fillId="10" borderId="24" xfId="0" applyNumberFormat="1" applyFont="1" applyFill="1" applyBorder="1" applyAlignment="1">
      <alignment horizontal="center" wrapText="1"/>
    </xf>
    <xf numFmtId="0" fontId="1" fillId="0" borderId="26" xfId="0" quotePrefix="1" applyFont="1" applyBorder="1" applyAlignment="1">
      <alignment horizontal="center" wrapText="1"/>
    </xf>
    <xf numFmtId="165" fontId="1" fillId="0" borderId="41" xfId="0" applyNumberFormat="1" applyFont="1" applyBorder="1" applyAlignment="1">
      <alignment horizontal="center" wrapText="1"/>
    </xf>
    <xf numFmtId="20" fontId="1" fillId="0" borderId="26" xfId="0" applyNumberFormat="1" applyFont="1" applyBorder="1" applyAlignment="1">
      <alignment horizontal="center" wrapText="1"/>
    </xf>
    <xf numFmtId="165" fontId="1" fillId="0" borderId="27" xfId="0" applyNumberFormat="1" applyFont="1" applyBorder="1" applyAlignment="1">
      <alignment wrapText="1"/>
    </xf>
    <xf numFmtId="20" fontId="1" fillId="0" borderId="6" xfId="0" applyNumberFormat="1" applyFont="1" applyBorder="1" applyAlignment="1">
      <alignment horizontal="center" wrapText="1"/>
    </xf>
    <xf numFmtId="165" fontId="1" fillId="0" borderId="7" xfId="0" applyNumberFormat="1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165" fontId="1" fillId="0" borderId="6" xfId="0" applyNumberFormat="1" applyFont="1" applyBorder="1" applyAlignment="1">
      <alignment wrapText="1"/>
    </xf>
    <xf numFmtId="0" fontId="1" fillId="10" borderId="6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wrapText="1"/>
    </xf>
    <xf numFmtId="165" fontId="13" fillId="10" borderId="7" xfId="0" applyNumberFormat="1" applyFont="1" applyFill="1" applyBorder="1"/>
    <xf numFmtId="20" fontId="14" fillId="0" borderId="0" xfId="0" applyNumberFormat="1" applyFont="1"/>
    <xf numFmtId="0" fontId="1" fillId="0" borderId="6" xfId="0" applyFont="1" applyBorder="1" applyAlignment="1">
      <alignment wrapText="1"/>
    </xf>
    <xf numFmtId="165" fontId="13" fillId="0" borderId="6" xfId="0" applyNumberFormat="1" applyFont="1" applyBorder="1"/>
    <xf numFmtId="165" fontId="13" fillId="0" borderId="7" xfId="0" applyNumberFormat="1" applyFont="1" applyBorder="1" applyAlignment="1">
      <alignment wrapText="1"/>
    </xf>
    <xf numFmtId="1" fontId="3" fillId="10" borderId="8" xfId="0" applyNumberFormat="1" applyFont="1" applyFill="1" applyBorder="1" applyAlignment="1">
      <alignment horizontal="center" wrapText="1"/>
    </xf>
    <xf numFmtId="165" fontId="13" fillId="0" borderId="7" xfId="0" applyNumberFormat="1" applyFont="1" applyBorder="1"/>
    <xf numFmtId="165" fontId="13" fillId="0" borderId="0" xfId="0" applyNumberFormat="1" applyFont="1"/>
    <xf numFmtId="0" fontId="1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165" fontId="13" fillId="0" borderId="45" xfId="0" applyNumberFormat="1" applyFont="1" applyBorder="1" applyAlignment="1">
      <alignment wrapText="1"/>
    </xf>
    <xf numFmtId="1" fontId="3" fillId="10" borderId="6" xfId="0" applyNumberFormat="1" applyFont="1" applyFill="1" applyBorder="1" applyAlignment="1">
      <alignment horizontal="center" wrapText="1"/>
    </xf>
    <xf numFmtId="0" fontId="13" fillId="0" borderId="6" xfId="0" applyFont="1" applyBorder="1"/>
    <xf numFmtId="165" fontId="13" fillId="10" borderId="6" xfId="0" applyNumberFormat="1" applyFont="1" applyFill="1" applyBorder="1"/>
    <xf numFmtId="165" fontId="1" fillId="10" borderId="6" xfId="0" applyNumberFormat="1" applyFont="1" applyFill="1" applyBorder="1" applyAlignment="1">
      <alignment wrapText="1"/>
    </xf>
    <xf numFmtId="20" fontId="1" fillId="10" borderId="6" xfId="0" applyNumberFormat="1" applyFont="1" applyFill="1" applyBorder="1" applyAlignment="1">
      <alignment horizontal="center" wrapText="1"/>
    </xf>
    <xf numFmtId="0" fontId="13" fillId="10" borderId="6" xfId="0" applyFont="1" applyFill="1" applyBorder="1"/>
    <xf numFmtId="165" fontId="3" fillId="10" borderId="5" xfId="0" applyNumberFormat="1" applyFont="1" applyFill="1" applyBorder="1" applyAlignment="1">
      <alignment wrapText="1"/>
    </xf>
    <xf numFmtId="0" fontId="15" fillId="0" borderId="0" xfId="0" applyFont="1"/>
    <xf numFmtId="0" fontId="16" fillId="2" borderId="26" xfId="0" applyFont="1" applyFill="1" applyBorder="1"/>
    <xf numFmtId="164" fontId="16" fillId="2" borderId="26" xfId="0" applyNumberFormat="1" applyFont="1" applyFill="1" applyBorder="1"/>
    <xf numFmtId="0" fontId="15" fillId="0" borderId="26" xfId="0" applyFont="1" applyBorder="1" applyAlignment="1">
      <alignment wrapText="1"/>
    </xf>
    <xf numFmtId="0" fontId="15" fillId="0" borderId="10" xfId="0" applyFont="1" applyBorder="1"/>
    <xf numFmtId="0" fontId="15" fillId="0" borderId="6" xfId="0" applyFont="1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wrapText="1"/>
    </xf>
    <xf numFmtId="1" fontId="1" fillId="2" borderId="46" xfId="0" applyNumberFormat="1" applyFont="1" applyFill="1" applyBorder="1" applyAlignment="1">
      <alignment horizontal="center" vertical="center" wrapText="1"/>
    </xf>
    <xf numFmtId="164" fontId="1" fillId="2" borderId="46" xfId="0" applyNumberFormat="1" applyFont="1" applyFill="1" applyBorder="1" applyAlignment="1">
      <alignment horizontal="center" vertical="center" wrapText="1"/>
    </xf>
    <xf numFmtId="1" fontId="8" fillId="5" borderId="46" xfId="0" applyNumberFormat="1" applyFont="1" applyFill="1" applyBorder="1" applyAlignment="1">
      <alignment horizontal="center" vertical="center" wrapText="1"/>
    </xf>
    <xf numFmtId="164" fontId="8" fillId="5" borderId="46" xfId="0" applyNumberFormat="1" applyFont="1" applyFill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14" fillId="0" borderId="0" xfId="0" applyFont="1"/>
    <xf numFmtId="0" fontId="1" fillId="0" borderId="37" xfId="0" applyFont="1" applyBorder="1" applyAlignment="1">
      <alignment wrapText="1"/>
    </xf>
    <xf numFmtId="0" fontId="15" fillId="0" borderId="6" xfId="0" applyFont="1" applyBorder="1"/>
    <xf numFmtId="164" fontId="1" fillId="2" borderId="6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16" fillId="0" borderId="6" xfId="0" applyFont="1" applyBorder="1"/>
    <xf numFmtId="1" fontId="3" fillId="11" borderId="6" xfId="0" applyNumberFormat="1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165" fontId="3" fillId="11" borderId="6" xfId="0" applyNumberFormat="1" applyFont="1" applyFill="1" applyBorder="1" applyAlignment="1">
      <alignment horizontal="center" wrapText="1"/>
    </xf>
    <xf numFmtId="9" fontId="2" fillId="0" borderId="14" xfId="0" applyNumberFormat="1" applyFont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38" xfId="0" applyNumberFormat="1" applyFont="1" applyFill="1" applyBorder="1" applyAlignment="1">
      <alignment horizontal="center" vertical="center" wrapText="1"/>
    </xf>
    <xf numFmtId="1" fontId="3" fillId="2" borderId="19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65" fontId="1" fillId="2" borderId="31" xfId="0" applyNumberFormat="1" applyFont="1" applyFill="1" applyBorder="1" applyAlignment="1">
      <alignment horizontal="center" vertical="center" wrapText="1"/>
    </xf>
    <xf numFmtId="165" fontId="1" fillId="2" borderId="32" xfId="0" applyNumberFormat="1" applyFont="1" applyFill="1" applyBorder="1" applyAlignment="1">
      <alignment horizontal="center" vertical="center" wrapText="1"/>
    </xf>
    <xf numFmtId="164" fontId="1" fillId="2" borderId="47" xfId="0" applyNumberFormat="1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vertical="center" wrapText="1"/>
    </xf>
    <xf numFmtId="164" fontId="2" fillId="0" borderId="14" xfId="0" applyNumberFormat="1" applyFont="1" applyBorder="1" applyAlignment="1">
      <alignment vertical="center" wrapText="1"/>
    </xf>
    <xf numFmtId="0" fontId="16" fillId="2" borderId="31" xfId="0" applyFont="1" applyFill="1" applyBorder="1"/>
    <xf numFmtId="1" fontId="3" fillId="2" borderId="32" xfId="0" applyNumberFormat="1" applyFont="1" applyFill="1" applyBorder="1" applyAlignment="1">
      <alignment horizontal="center" vertical="center" wrapText="1"/>
    </xf>
    <xf numFmtId="1" fontId="1" fillId="2" borderId="32" xfId="0" applyNumberFormat="1" applyFont="1" applyFill="1" applyBorder="1" applyAlignment="1">
      <alignment horizontal="center" vertical="center" wrapText="1"/>
    </xf>
    <xf numFmtId="1" fontId="3" fillId="2" borderId="47" xfId="0" applyNumberFormat="1" applyFont="1" applyFill="1" applyBorder="1" applyAlignment="1">
      <alignment horizontal="center" vertical="center" wrapText="1"/>
    </xf>
    <xf numFmtId="0" fontId="13" fillId="2" borderId="19" xfId="0" applyFont="1" applyFill="1" applyBorder="1"/>
    <xf numFmtId="9" fontId="2" fillId="0" borderId="6" xfId="0" applyNumberFormat="1" applyFont="1" applyBorder="1" applyAlignment="1">
      <alignment horizontal="center" vertical="center" wrapText="1"/>
    </xf>
    <xf numFmtId="164" fontId="3" fillId="13" borderId="12" xfId="0" applyNumberFormat="1" applyFont="1" applyFill="1" applyBorder="1" applyAlignment="1">
      <alignment vertical="center" wrapText="1"/>
    </xf>
    <xf numFmtId="164" fontId="17" fillId="14" borderId="13" xfId="0" applyNumberFormat="1" applyFont="1" applyFill="1" applyBorder="1"/>
    <xf numFmtId="0" fontId="5" fillId="14" borderId="14" xfId="0" applyFont="1" applyFill="1" applyBorder="1"/>
    <xf numFmtId="164" fontId="2" fillId="0" borderId="12" xfId="0" applyNumberFormat="1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165" fontId="1" fillId="0" borderId="12" xfId="0" applyNumberFormat="1" applyFont="1" applyBorder="1" applyAlignment="1">
      <alignment wrapText="1"/>
    </xf>
    <xf numFmtId="0" fontId="5" fillId="0" borderId="14" xfId="0" applyFont="1" applyBorder="1"/>
    <xf numFmtId="0" fontId="1" fillId="0" borderId="12" xfId="0" applyFont="1" applyBorder="1" applyAlignment="1">
      <alignment wrapText="1"/>
    </xf>
    <xf numFmtId="0" fontId="5" fillId="0" borderId="13" xfId="0" applyFont="1" applyBorder="1"/>
    <xf numFmtId="0" fontId="1" fillId="10" borderId="12" xfId="0" applyFont="1" applyFill="1" applyBorder="1" applyAlignment="1">
      <alignment wrapText="1"/>
    </xf>
    <xf numFmtId="0" fontId="5" fillId="0" borderId="37" xfId="0" applyFont="1" applyBorder="1"/>
    <xf numFmtId="1" fontId="3" fillId="9" borderId="12" xfId="0" applyNumberFormat="1" applyFont="1" applyFill="1" applyBorder="1" applyAlignment="1">
      <alignment horizontal="center" wrapText="1"/>
    </xf>
    <xf numFmtId="0" fontId="13" fillId="0" borderId="42" xfId="0" applyFont="1" applyBorder="1" applyAlignment="1">
      <alignment horizontal="center" wrapText="1"/>
    </xf>
    <xf numFmtId="0" fontId="5" fillId="0" borderId="44" xfId="0" applyFont="1" applyBorder="1"/>
    <xf numFmtId="0" fontId="1" fillId="0" borderId="1" xfId="0" applyFont="1" applyBorder="1" applyAlignment="1">
      <alignment wrapText="1"/>
    </xf>
    <xf numFmtId="0" fontId="5" fillId="0" borderId="2" xfId="0" applyFont="1" applyBorder="1"/>
    <xf numFmtId="0" fontId="5" fillId="0" borderId="25" xfId="0" applyFont="1" applyBorder="1"/>
    <xf numFmtId="0" fontId="1" fillId="0" borderId="42" xfId="0" applyFont="1" applyBorder="1" applyAlignment="1">
      <alignment wrapText="1"/>
    </xf>
    <xf numFmtId="0" fontId="5" fillId="0" borderId="43" xfId="0" applyFont="1" applyBorder="1"/>
    <xf numFmtId="1" fontId="3" fillId="0" borderId="0" xfId="0" applyNumberFormat="1" applyFont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wrapText="1"/>
    </xf>
    <xf numFmtId="1" fontId="3" fillId="12" borderId="12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5" xfId="0" applyFont="1" applyBorder="1"/>
    <xf numFmtId="0" fontId="5" fillId="0" borderId="3" xfId="0" applyFont="1" applyBorder="1"/>
    <xf numFmtId="0" fontId="5" fillId="0" borderId="16" xfId="0" applyFont="1" applyBorder="1"/>
    <xf numFmtId="0" fontId="1" fillId="2" borderId="12" xfId="0" applyFont="1" applyFill="1" applyBorder="1" applyAlignment="1">
      <alignment horizontal="center"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164" fontId="3" fillId="4" borderId="30" xfId="0" applyNumberFormat="1" applyFont="1" applyFill="1" applyBorder="1" applyAlignment="1">
      <alignment horizontal="center" vertical="center" wrapText="1"/>
    </xf>
    <xf numFmtId="0" fontId="5" fillId="0" borderId="31" xfId="0" applyFont="1" applyBorder="1"/>
    <xf numFmtId="164" fontId="8" fillId="5" borderId="30" xfId="0" applyNumberFormat="1" applyFont="1" applyFill="1" applyBorder="1" applyAlignment="1">
      <alignment horizontal="center" vertical="center" wrapText="1"/>
    </xf>
    <xf numFmtId="1" fontId="1" fillId="2" borderId="33" xfId="0" applyNumberFormat="1" applyFont="1" applyFill="1" applyBorder="1" applyAlignment="1">
      <alignment horizontal="center" vertical="center" wrapText="1"/>
    </xf>
    <xf numFmtId="0" fontId="5" fillId="0" borderId="34" xfId="0" applyFont="1" applyBorder="1"/>
    <xf numFmtId="1" fontId="1" fillId="2" borderId="47" xfId="0" applyNumberFormat="1" applyFont="1" applyFill="1" applyBorder="1" applyAlignment="1">
      <alignment horizontal="center" vertical="center" wrapText="1"/>
    </xf>
    <xf numFmtId="0" fontId="5" fillId="0" borderId="48" xfId="0" applyFont="1" applyBorder="1"/>
    <xf numFmtId="0" fontId="5" fillId="0" borderId="35" xfId="0" applyFont="1" applyBorder="1"/>
    <xf numFmtId="0" fontId="5" fillId="0" borderId="36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" fontId="1" fillId="2" borderId="12" xfId="0" applyNumberFormat="1" applyFont="1" applyFill="1" applyBorder="1" applyAlignment="1">
      <alignment horizontal="center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5" fillId="0" borderId="29" xfId="0" applyFont="1" applyBorder="1"/>
    <xf numFmtId="1" fontId="1" fillId="2" borderId="1" xfId="0" applyNumberFormat="1" applyFont="1" applyFill="1" applyBorder="1" applyAlignment="1">
      <alignment horizontal="center" vertical="center" wrapText="1"/>
    </xf>
    <xf numFmtId="1" fontId="8" fillId="5" borderId="30" xfId="0" applyNumberFormat="1" applyFont="1" applyFill="1" applyBorder="1" applyAlignment="1">
      <alignment horizontal="center" vertical="center" wrapText="1"/>
    </xf>
    <xf numFmtId="0" fontId="5" fillId="0" borderId="18" xfId="0" applyFont="1" applyBorder="1"/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" fontId="3" fillId="4" borderId="20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0" fontId="7" fillId="0" borderId="28" xfId="0" applyFont="1" applyBorder="1" applyAlignment="1">
      <alignment vertical="center" wrapText="1"/>
    </xf>
    <xf numFmtId="1" fontId="3" fillId="4" borderId="30" xfId="0" applyNumberFormat="1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65" fontId="8" fillId="3" borderId="15" xfId="0" applyNumberFormat="1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3" fillId="2" borderId="17" xfId="0" applyNumberFormat="1" applyFont="1" applyFill="1" applyBorder="1" applyAlignment="1">
      <alignment horizontal="center" vertical="center" wrapText="1"/>
    </xf>
    <xf numFmtId="0" fontId="5" fillId="0" borderId="19" xfId="0" applyFont="1" applyBorder="1"/>
    <xf numFmtId="1" fontId="1" fillId="0" borderId="0" xfId="0" applyNumberFormat="1" applyFont="1" applyAlignment="1">
      <alignment horizontal="center" vertical="center" wrapText="1"/>
    </xf>
    <xf numFmtId="1" fontId="8" fillId="3" borderId="15" xfId="0" applyNumberFormat="1" applyFont="1" applyFill="1" applyBorder="1" applyAlignment="1">
      <alignment horizontal="center" vertical="center" wrapText="1"/>
    </xf>
    <xf numFmtId="3" fontId="8" fillId="3" borderId="15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" fontId="3" fillId="7" borderId="12" xfId="0" applyNumberFormat="1" applyFont="1" applyFill="1" applyBorder="1" applyAlignment="1">
      <alignment horizontal="center" vertical="center" wrapText="1"/>
    </xf>
    <xf numFmtId="1" fontId="3" fillId="6" borderId="38" xfId="0" applyNumberFormat="1" applyFont="1" applyFill="1" applyBorder="1" applyAlignment="1">
      <alignment horizontal="center" vertical="center" wrapText="1"/>
    </xf>
    <xf numFmtId="0" fontId="5" fillId="0" borderId="39" xfId="0" applyFont="1" applyBorder="1"/>
    <xf numFmtId="0" fontId="5" fillId="0" borderId="40" xfId="0" applyFont="1" applyBorder="1"/>
    <xf numFmtId="164" fontId="3" fillId="6" borderId="38" xfId="0" applyNumberFormat="1" applyFont="1" applyFill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10" borderId="12" xfId="0" applyFont="1" applyFill="1" applyBorder="1" applyAlignment="1">
      <alignment horizontal="center" wrapText="1"/>
    </xf>
    <xf numFmtId="0" fontId="1" fillId="10" borderId="13" xfId="0" applyFont="1" applyFill="1" applyBorder="1" applyAlignment="1">
      <alignment horizontal="center" wrapText="1"/>
    </xf>
    <xf numFmtId="0" fontId="1" fillId="10" borderId="14" xfId="0" applyFont="1" applyFill="1" applyBorder="1" applyAlignment="1">
      <alignment horizontal="center" wrapText="1"/>
    </xf>
    <xf numFmtId="1" fontId="13" fillId="0" borderId="0" xfId="0" applyNumberFormat="1" applyFont="1"/>
    <xf numFmtId="1" fontId="8" fillId="5" borderId="38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13" fillId="2" borderId="43" xfId="0" applyFont="1" applyFill="1" applyBorder="1" applyAlignment="1">
      <alignment horizontal="center" wrapText="1"/>
    </xf>
    <xf numFmtId="0" fontId="16" fillId="2" borderId="43" xfId="0" applyFont="1" applyFill="1" applyBorder="1" applyAlignment="1">
      <alignment horizontal="center" wrapText="1"/>
    </xf>
    <xf numFmtId="1" fontId="3" fillId="6" borderId="12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167" fontId="3" fillId="7" borderId="12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1352550</xdr:colOff>
      <xdr:row>3</xdr:row>
      <xdr:rowOff>152400</xdr:rowOff>
    </xdr:from>
    <xdr:ext cx="0" cy="466725"/>
    <xdr:pic>
      <xdr:nvPicPr>
        <xdr:cNvPr id="2" name="image3.png" descr="http://www.skretting.vn/internet/SkrettingVietnam/webinternet.nsf/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048500" cy="12096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39</xdr:row>
      <xdr:rowOff>76200</xdr:rowOff>
    </xdr:from>
    <xdr:ext cx="7096125" cy="1409700"/>
    <xdr:pic>
      <xdr:nvPicPr>
        <xdr:cNvPr id="4" name="image2.jpg" title="Hình ảnh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1352550</xdr:colOff>
      <xdr:row>3</xdr:row>
      <xdr:rowOff>152400</xdr:rowOff>
    </xdr:from>
    <xdr:ext cx="0" cy="466725"/>
    <xdr:pic>
      <xdr:nvPicPr>
        <xdr:cNvPr id="2" name="image3.png" descr="http://www.skretting.vn/internet/SkrettingVietnam/webinternet.nsf/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048500" cy="12096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23</xdr:row>
      <xdr:rowOff>142875</xdr:rowOff>
    </xdr:from>
    <xdr:ext cx="7096125" cy="1409700"/>
    <xdr:pic>
      <xdr:nvPicPr>
        <xdr:cNvPr id="4" name="image2.jp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1352550</xdr:colOff>
      <xdr:row>3</xdr:row>
      <xdr:rowOff>152400</xdr:rowOff>
    </xdr:from>
    <xdr:ext cx="0" cy="466725"/>
    <xdr:pic>
      <xdr:nvPicPr>
        <xdr:cNvPr id="2" name="image3.png" descr="http://www.skretting.vn/internet/SkrettingVietnam/webinternet.nsf/logo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048500" cy="12096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171450</xdr:rowOff>
    </xdr:from>
    <xdr:ext cx="7096125" cy="1409700"/>
    <xdr:pic>
      <xdr:nvPicPr>
        <xdr:cNvPr id="4" name="image2.jpg" title="Hình ảnh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1352550</xdr:colOff>
      <xdr:row>3</xdr:row>
      <xdr:rowOff>152400</xdr:rowOff>
    </xdr:from>
    <xdr:ext cx="0" cy="466725"/>
    <xdr:pic>
      <xdr:nvPicPr>
        <xdr:cNvPr id="2" name="image3.png" descr="http://www.skretting.vn/internet/SkrettingVietnam/webinternet.nsf/logo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648575" cy="1314450"/>
    <xdr:pic>
      <xdr:nvPicPr>
        <xdr:cNvPr id="3" name="image1.jpg" title="Hình ảnh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32</xdr:row>
      <xdr:rowOff>142875</xdr:rowOff>
    </xdr:from>
    <xdr:ext cx="7096125" cy="1409700"/>
    <xdr:pic>
      <xdr:nvPicPr>
        <xdr:cNvPr id="4" name="image2.jpg" title="Hình ảnh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showGridLines="0" tabSelected="1" workbookViewId="0">
      <selection activeCell="L16" sqref="L16"/>
    </sheetView>
  </sheetViews>
  <sheetFormatPr defaultColWidth="12.6640625" defaultRowHeight="15" customHeight="1" x14ac:dyDescent="0.25"/>
  <cols>
    <col min="1" max="1" width="4.109375" customWidth="1"/>
    <col min="2" max="2" width="12" customWidth="1"/>
    <col min="3" max="3" width="14.77734375" customWidth="1"/>
    <col min="4" max="4" width="7.77734375" customWidth="1"/>
    <col min="5" max="5" width="4.88671875" customWidth="1"/>
    <col min="6" max="6" width="6.77734375" customWidth="1"/>
    <col min="7" max="7" width="11" customWidth="1"/>
    <col min="8" max="8" width="12.109375" customWidth="1"/>
    <col min="9" max="9" width="22.44140625" customWidth="1"/>
    <col min="10" max="10" width="10.77734375" customWidth="1"/>
  </cols>
  <sheetData>
    <row r="1" spans="1:26" ht="13.8" x14ac:dyDescent="0.25">
      <c r="A1" s="1"/>
      <c r="B1" s="1"/>
      <c r="C1" s="2"/>
      <c r="D1" s="1"/>
      <c r="E1" s="1"/>
      <c r="F1" s="1"/>
      <c r="G1" s="7"/>
      <c r="H1" s="7"/>
      <c r="I1" s="1"/>
      <c r="J1" s="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8" x14ac:dyDescent="0.25">
      <c r="A2" s="1"/>
      <c r="B2" s="1"/>
      <c r="C2" s="2"/>
      <c r="D2" s="1"/>
      <c r="E2" s="1"/>
      <c r="F2" s="1"/>
      <c r="G2" s="7"/>
      <c r="H2" s="7"/>
      <c r="I2" s="1"/>
      <c r="J2" s="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8" x14ac:dyDescent="0.25">
      <c r="A3" s="1"/>
      <c r="B3" s="1"/>
      <c r="C3" s="2"/>
      <c r="D3" s="1"/>
      <c r="E3" s="1"/>
      <c r="F3" s="1"/>
      <c r="G3" s="7"/>
      <c r="H3" s="7"/>
      <c r="I3" s="1"/>
      <c r="J3" s="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1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1" customHeight="1" x14ac:dyDescent="0.25">
      <c r="A5" s="3"/>
      <c r="B5" s="1"/>
      <c r="C5" s="2"/>
      <c r="D5" s="1"/>
      <c r="E5" s="1"/>
      <c r="F5" s="1"/>
      <c r="G5" s="1"/>
      <c r="H5" s="1"/>
      <c r="I5" s="1"/>
      <c r="J5" s="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 x14ac:dyDescent="0.25">
      <c r="A6" s="3"/>
      <c r="B6" s="1"/>
      <c r="C6" s="2"/>
      <c r="D6" s="1"/>
      <c r="E6" s="1"/>
      <c r="F6" s="1"/>
      <c r="G6" s="1"/>
      <c r="H6" s="1"/>
      <c r="I6" s="1"/>
      <c r="J6" s="1"/>
      <c r="K6" s="9"/>
      <c r="L6" s="9"/>
      <c r="M6" s="9"/>
      <c r="N6" s="9"/>
      <c r="O6" s="9"/>
      <c r="P6" s="9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 x14ac:dyDescent="0.25">
      <c r="A7" s="188" t="s">
        <v>108</v>
      </c>
      <c r="B7" s="149"/>
      <c r="C7" s="149"/>
      <c r="D7" s="149"/>
      <c r="E7" s="149"/>
      <c r="F7" s="149"/>
      <c r="G7" s="149"/>
      <c r="H7" s="149"/>
      <c r="I7" s="149"/>
      <c r="J7" s="149"/>
      <c r="K7" s="9"/>
      <c r="L7" s="9"/>
      <c r="M7" s="9"/>
      <c r="N7" s="9"/>
      <c r="O7" s="9"/>
      <c r="P7" s="9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4" customHeight="1" x14ac:dyDescent="0.25">
      <c r="A8" s="189" t="s">
        <v>153</v>
      </c>
      <c r="B8" s="177"/>
      <c r="C8" s="177"/>
      <c r="D8" s="177"/>
      <c r="E8" s="177"/>
      <c r="F8" s="177"/>
      <c r="G8" s="177"/>
      <c r="H8" s="177"/>
      <c r="I8" s="177"/>
      <c r="J8" s="19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8" x14ac:dyDescent="0.25">
      <c r="A9" s="191" t="s">
        <v>3</v>
      </c>
      <c r="B9" s="149"/>
      <c r="C9" s="4">
        <v>30</v>
      </c>
      <c r="D9" s="3"/>
      <c r="E9" s="1"/>
      <c r="F9" s="1"/>
      <c r="G9" s="7"/>
      <c r="H9" s="7"/>
      <c r="I9" s="1"/>
      <c r="J9" s="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1" customHeight="1" x14ac:dyDescent="0.25">
      <c r="A10" s="192" t="s">
        <v>0</v>
      </c>
      <c r="B10" s="185" t="s">
        <v>1</v>
      </c>
      <c r="C10" s="194" t="s">
        <v>4</v>
      </c>
      <c r="D10" s="185" t="s">
        <v>5</v>
      </c>
      <c r="E10" s="186" t="s">
        <v>6</v>
      </c>
      <c r="F10" s="186" t="s">
        <v>7</v>
      </c>
      <c r="G10" s="187" t="s">
        <v>8</v>
      </c>
      <c r="H10" s="187" t="s">
        <v>9</v>
      </c>
      <c r="I10" s="193" t="s">
        <v>10</v>
      </c>
      <c r="J10" s="193" t="s">
        <v>11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1" customHeight="1" x14ac:dyDescent="0.25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8" x14ac:dyDescent="0.25">
      <c r="A12" s="180" t="s">
        <v>12</v>
      </c>
      <c r="B12" s="181"/>
      <c r="C12" s="181"/>
      <c r="D12" s="181"/>
      <c r="E12" s="158"/>
      <c r="F12" s="10"/>
      <c r="G12" s="157">
        <f>SUM(H13:H14)</f>
        <v>13800000</v>
      </c>
      <c r="H12" s="158"/>
      <c r="I12" s="10"/>
      <c r="J12" s="1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.75" customHeight="1" thickBot="1" x14ac:dyDescent="0.3">
      <c r="A13" s="16">
        <v>2</v>
      </c>
      <c r="B13" s="182" t="s">
        <v>144</v>
      </c>
      <c r="C13" s="174"/>
      <c r="D13" s="17" t="s">
        <v>30</v>
      </c>
      <c r="E13" s="18">
        <f>C9</f>
        <v>30</v>
      </c>
      <c r="F13" s="18">
        <v>2</v>
      </c>
      <c r="G13" s="19">
        <v>180000</v>
      </c>
      <c r="H13" s="20">
        <f t="shared" ref="H13:H14" si="0">G13*F13*E13</f>
        <v>10800000</v>
      </c>
      <c r="I13" s="17"/>
      <c r="J13" s="2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.75" customHeight="1" thickBot="1" x14ac:dyDescent="0.3">
      <c r="A14" s="112"/>
      <c r="B14" s="184" t="s">
        <v>145</v>
      </c>
      <c r="C14" s="184"/>
      <c r="D14" s="113" t="s">
        <v>13</v>
      </c>
      <c r="E14" s="114">
        <f>C9/2</f>
        <v>15</v>
      </c>
      <c r="F14" s="115">
        <v>1</v>
      </c>
      <c r="G14" s="116">
        <v>200000</v>
      </c>
      <c r="H14" s="20">
        <f t="shared" si="0"/>
        <v>3000000</v>
      </c>
      <c r="I14" s="117"/>
      <c r="J14" s="11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8" x14ac:dyDescent="0.25">
      <c r="A15" s="183" t="s">
        <v>14</v>
      </c>
      <c r="B15" s="177"/>
      <c r="C15" s="177"/>
      <c r="D15" s="177"/>
      <c r="E15" s="160"/>
      <c r="F15" s="22"/>
      <c r="G15" s="159">
        <f>SUM(H16)</f>
        <v>7500000</v>
      </c>
      <c r="H15" s="160"/>
      <c r="I15" s="22"/>
      <c r="J15" s="2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6.6" customHeight="1" x14ac:dyDescent="0.25">
      <c r="A16" s="27">
        <v>2</v>
      </c>
      <c r="B16" s="173" t="s">
        <v>146</v>
      </c>
      <c r="C16" s="174"/>
      <c r="D16" s="17" t="s">
        <v>15</v>
      </c>
      <c r="E16" s="18">
        <f>C9/2</f>
        <v>15</v>
      </c>
      <c r="F16" s="18">
        <v>1</v>
      </c>
      <c r="G16" s="19">
        <v>500000</v>
      </c>
      <c r="H16" s="19">
        <f>G16*F16*E16</f>
        <v>7500000</v>
      </c>
      <c r="I16" s="28" t="s">
        <v>147</v>
      </c>
      <c r="J16" s="2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8" x14ac:dyDescent="0.25">
      <c r="A17" s="176" t="s">
        <v>16</v>
      </c>
      <c r="B17" s="177"/>
      <c r="C17" s="177"/>
      <c r="D17" s="177"/>
      <c r="E17" s="160"/>
      <c r="F17" s="30"/>
      <c r="G17" s="161">
        <f>SUM(H18:H21)</f>
        <v>19950000</v>
      </c>
      <c r="H17" s="160"/>
      <c r="I17" s="30"/>
      <c r="J17" s="30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7.6" customHeight="1" x14ac:dyDescent="0.25">
      <c r="A18" s="33">
        <v>2</v>
      </c>
      <c r="B18" s="156" t="s">
        <v>21</v>
      </c>
      <c r="C18" s="172"/>
      <c r="D18" s="34" t="s">
        <v>18</v>
      </c>
      <c r="E18" s="36">
        <f>C9</f>
        <v>30</v>
      </c>
      <c r="F18" s="36">
        <v>1</v>
      </c>
      <c r="G18" s="37">
        <v>150000</v>
      </c>
      <c r="H18" s="37">
        <f t="shared" ref="H18:H21" si="1">G18*F18*E18</f>
        <v>4500000</v>
      </c>
      <c r="I18" s="38"/>
      <c r="J18" s="3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8.25" customHeight="1" x14ac:dyDescent="0.25">
      <c r="A19" s="33">
        <v>3</v>
      </c>
      <c r="B19" s="34" t="s">
        <v>22</v>
      </c>
      <c r="C19" s="34" t="s">
        <v>26</v>
      </c>
      <c r="D19" s="34" t="s">
        <v>18</v>
      </c>
      <c r="E19" s="36">
        <f>C9</f>
        <v>30</v>
      </c>
      <c r="F19" s="36">
        <v>1</v>
      </c>
      <c r="G19" s="37">
        <v>300000</v>
      </c>
      <c r="H19" s="37">
        <f t="shared" si="1"/>
        <v>9000000</v>
      </c>
      <c r="I19" s="34"/>
      <c r="J19" s="3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8.25" customHeight="1" x14ac:dyDescent="0.25">
      <c r="A20" s="33"/>
      <c r="B20" s="156" t="s">
        <v>148</v>
      </c>
      <c r="C20" s="172"/>
      <c r="D20" s="34" t="s">
        <v>18</v>
      </c>
      <c r="E20" s="36">
        <f>C9</f>
        <v>30</v>
      </c>
      <c r="F20" s="36">
        <v>1</v>
      </c>
      <c r="G20" s="37">
        <v>65000</v>
      </c>
      <c r="H20" s="37">
        <f t="shared" si="1"/>
        <v>1950000</v>
      </c>
      <c r="I20" s="34"/>
      <c r="J20" s="3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33">
        <v>4</v>
      </c>
      <c r="B21" s="178" t="s">
        <v>24</v>
      </c>
      <c r="C21" s="179"/>
      <c r="D21" s="34" t="s">
        <v>18</v>
      </c>
      <c r="E21" s="36">
        <f>C9</f>
        <v>30</v>
      </c>
      <c r="F21" s="36">
        <v>1</v>
      </c>
      <c r="G21" s="37">
        <v>150000</v>
      </c>
      <c r="H21" s="37">
        <f t="shared" si="1"/>
        <v>4500000</v>
      </c>
      <c r="I21" s="35"/>
      <c r="J21" s="3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4" customHeight="1" thickBot="1" x14ac:dyDescent="0.3">
      <c r="A22" s="176" t="s">
        <v>28</v>
      </c>
      <c r="B22" s="177"/>
      <c r="C22" s="177"/>
      <c r="D22" s="177"/>
      <c r="E22" s="160"/>
      <c r="F22" s="30"/>
      <c r="G22" s="161">
        <f>SUM(H23:H25)</f>
        <v>4200000</v>
      </c>
      <c r="H22" s="160"/>
      <c r="I22" s="30"/>
      <c r="J22" s="3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1" customHeight="1" x14ac:dyDescent="0.25">
      <c r="A23" s="23">
        <v>1</v>
      </c>
      <c r="B23" s="175" t="s">
        <v>29</v>
      </c>
      <c r="C23" s="145"/>
      <c r="D23" s="14" t="s">
        <v>30</v>
      </c>
      <c r="E23" s="14">
        <v>1</v>
      </c>
      <c r="F23" s="14">
        <v>2</v>
      </c>
      <c r="G23" s="13">
        <v>800000</v>
      </c>
      <c r="H23" s="13">
        <f t="shared" ref="H23:H25" si="2">G23*F23*E23</f>
        <v>1600000</v>
      </c>
      <c r="I23" s="162" t="s">
        <v>31</v>
      </c>
      <c r="J23" s="16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1" customHeight="1" x14ac:dyDescent="0.25">
      <c r="A24" s="110"/>
      <c r="B24" s="170" t="s">
        <v>110</v>
      </c>
      <c r="C24" s="171"/>
      <c r="D24" s="95" t="s">
        <v>88</v>
      </c>
      <c r="E24" s="95">
        <v>1</v>
      </c>
      <c r="F24" s="95">
        <v>1</v>
      </c>
      <c r="G24" s="96">
        <v>2000000</v>
      </c>
      <c r="H24" s="96">
        <f t="shared" si="2"/>
        <v>2000000</v>
      </c>
      <c r="I24" s="164"/>
      <c r="J24" s="16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4" customHeight="1" x14ac:dyDescent="0.25">
      <c r="A25" s="33">
        <v>2</v>
      </c>
      <c r="B25" s="170" t="s">
        <v>149</v>
      </c>
      <c r="C25" s="135"/>
      <c r="D25" s="36" t="s">
        <v>33</v>
      </c>
      <c r="E25" s="36">
        <v>1</v>
      </c>
      <c r="F25" s="36">
        <v>2</v>
      </c>
      <c r="G25" s="37">
        <v>300000</v>
      </c>
      <c r="H25" s="37">
        <f t="shared" si="2"/>
        <v>600000</v>
      </c>
      <c r="I25" s="166"/>
      <c r="J25" s="16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176" t="s">
        <v>34</v>
      </c>
      <c r="B26" s="177"/>
      <c r="C26" s="177"/>
      <c r="D26" s="177"/>
      <c r="E26" s="160"/>
      <c r="F26" s="30"/>
      <c r="G26" s="44"/>
      <c r="H26" s="44">
        <f>SUM(H27:H33)</f>
        <v>5970000</v>
      </c>
      <c r="I26" s="30"/>
      <c r="J26" s="30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3" customHeight="1" thickBot="1" x14ac:dyDescent="0.3">
      <c r="A27" s="23">
        <v>1</v>
      </c>
      <c r="B27" s="14" t="s">
        <v>35</v>
      </c>
      <c r="C27" s="14" t="s">
        <v>36</v>
      </c>
      <c r="D27" s="14" t="s">
        <v>37</v>
      </c>
      <c r="E27" s="14">
        <f>C9*2*2/24</f>
        <v>5</v>
      </c>
      <c r="F27" s="14">
        <v>1</v>
      </c>
      <c r="G27" s="13">
        <v>150000</v>
      </c>
      <c r="H27" s="13">
        <f t="shared" ref="H27:H33" si="3">G27*F27*E27</f>
        <v>750000</v>
      </c>
      <c r="I27" s="175" t="s">
        <v>38</v>
      </c>
      <c r="J27" s="15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33" customHeight="1" x14ac:dyDescent="0.25">
      <c r="A28" s="110"/>
      <c r="B28" s="170" t="s">
        <v>150</v>
      </c>
      <c r="C28" s="171"/>
      <c r="D28" s="95" t="s">
        <v>88</v>
      </c>
      <c r="E28" s="95">
        <v>1</v>
      </c>
      <c r="F28" s="95">
        <v>1</v>
      </c>
      <c r="G28" s="96">
        <v>2500000</v>
      </c>
      <c r="H28" s="13">
        <f t="shared" si="3"/>
        <v>2500000</v>
      </c>
      <c r="I28" s="111"/>
      <c r="J28" s="4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46.5" customHeight="1" x14ac:dyDescent="0.25">
      <c r="A29" s="33">
        <v>2</v>
      </c>
      <c r="B29" s="133" t="s">
        <v>2</v>
      </c>
      <c r="C29" s="35" t="s">
        <v>151</v>
      </c>
      <c r="D29" s="34" t="s">
        <v>39</v>
      </c>
      <c r="E29" s="36">
        <f>C9</f>
        <v>30</v>
      </c>
      <c r="F29" s="36">
        <v>1</v>
      </c>
      <c r="G29" s="37">
        <v>40000</v>
      </c>
      <c r="H29" s="37">
        <f t="shared" si="3"/>
        <v>1200000</v>
      </c>
      <c r="I29" s="156" t="s">
        <v>152</v>
      </c>
      <c r="J29" s="13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3.25" customHeight="1" x14ac:dyDescent="0.25">
      <c r="A30" s="33">
        <v>5</v>
      </c>
      <c r="B30" s="156" t="s">
        <v>42</v>
      </c>
      <c r="C30" s="135"/>
      <c r="D30" s="34" t="s">
        <v>43</v>
      </c>
      <c r="E30" s="36">
        <f>C9</f>
        <v>30</v>
      </c>
      <c r="F30" s="36">
        <v>1</v>
      </c>
      <c r="G30" s="37">
        <v>20000</v>
      </c>
      <c r="H30" s="37">
        <f t="shared" si="3"/>
        <v>600000</v>
      </c>
      <c r="I30" s="156"/>
      <c r="J30" s="13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 x14ac:dyDescent="0.25">
      <c r="A31" s="33">
        <v>6</v>
      </c>
      <c r="B31" s="156" t="s">
        <v>44</v>
      </c>
      <c r="C31" s="135"/>
      <c r="D31" s="34" t="s">
        <v>45</v>
      </c>
      <c r="E31" s="36">
        <f>C9*2</f>
        <v>60</v>
      </c>
      <c r="F31" s="36">
        <v>1</v>
      </c>
      <c r="G31" s="37">
        <v>2000</v>
      </c>
      <c r="H31" s="37">
        <f t="shared" si="3"/>
        <v>120000</v>
      </c>
      <c r="I31" s="156"/>
      <c r="J31" s="13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8" x14ac:dyDescent="0.25">
      <c r="A32" s="33">
        <v>7</v>
      </c>
      <c r="B32" s="156" t="s">
        <v>46</v>
      </c>
      <c r="C32" s="172"/>
      <c r="D32" s="34" t="s">
        <v>45</v>
      </c>
      <c r="E32" s="36">
        <v>1</v>
      </c>
      <c r="F32" s="36">
        <v>1</v>
      </c>
      <c r="G32" s="37">
        <v>200000</v>
      </c>
      <c r="H32" s="37">
        <f t="shared" si="3"/>
        <v>200000</v>
      </c>
      <c r="I32" s="34" t="s">
        <v>48</v>
      </c>
      <c r="J32" s="4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8.2" thickBot="1" x14ac:dyDescent="0.3">
      <c r="A33" s="27">
        <v>8</v>
      </c>
      <c r="B33" s="17" t="s">
        <v>49</v>
      </c>
      <c r="C33" s="17" t="s">
        <v>50</v>
      </c>
      <c r="D33" s="17" t="s">
        <v>51</v>
      </c>
      <c r="E33" s="40">
        <f>C9</f>
        <v>30</v>
      </c>
      <c r="F33" s="40">
        <v>2</v>
      </c>
      <c r="G33" s="19">
        <v>10000</v>
      </c>
      <c r="H33" s="19">
        <f t="shared" si="3"/>
        <v>600000</v>
      </c>
      <c r="I33" s="17"/>
      <c r="J33" s="2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1" customHeight="1" x14ac:dyDescent="0.25">
      <c r="A34" s="196" t="s">
        <v>52</v>
      </c>
      <c r="B34" s="197"/>
      <c r="C34" s="197"/>
      <c r="D34" s="197"/>
      <c r="E34" s="197"/>
      <c r="F34" s="197"/>
      <c r="G34" s="198"/>
      <c r="H34" s="199">
        <f>H26+G22+G17+G15+G12</f>
        <v>51420000</v>
      </c>
      <c r="I34" s="197"/>
      <c r="J34" s="19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1" customHeight="1" x14ac:dyDescent="0.25">
      <c r="A35" s="200" t="s">
        <v>53</v>
      </c>
      <c r="B35" s="137"/>
      <c r="C35" s="137"/>
      <c r="D35" s="137"/>
      <c r="E35" s="137"/>
      <c r="F35" s="135"/>
      <c r="G35" s="99">
        <v>0.08</v>
      </c>
      <c r="H35" s="201">
        <f>H34*G35</f>
        <v>4113600</v>
      </c>
      <c r="I35" s="137"/>
      <c r="J35" s="13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1" hidden="1" customHeight="1" x14ac:dyDescent="0.25">
      <c r="A36" s="46"/>
      <c r="B36" s="46"/>
      <c r="C36" s="47"/>
      <c r="D36" s="46"/>
      <c r="E36" s="46"/>
      <c r="F36" s="46"/>
      <c r="G36" s="46"/>
      <c r="H36" s="46"/>
      <c r="I36" s="46"/>
      <c r="J36" s="4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1" customHeight="1" x14ac:dyDescent="0.25">
      <c r="A37" s="168" t="s">
        <v>109</v>
      </c>
      <c r="B37" s="169"/>
      <c r="C37" s="169"/>
      <c r="D37" s="169"/>
      <c r="E37" s="169"/>
      <c r="F37" s="169"/>
      <c r="G37" s="109">
        <v>0.08</v>
      </c>
      <c r="H37" s="6"/>
      <c r="I37" s="119">
        <f>(H34+H35)*G37</f>
        <v>4442688</v>
      </c>
      <c r="J37" s="12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1" customHeight="1" x14ac:dyDescent="0.25">
      <c r="A38" s="200" t="s">
        <v>54</v>
      </c>
      <c r="B38" s="137"/>
      <c r="C38" s="137"/>
      <c r="D38" s="137"/>
      <c r="E38" s="137"/>
      <c r="F38" s="137"/>
      <c r="G38" s="135"/>
      <c r="H38" s="201">
        <f>H34+H35+I37</f>
        <v>59976288</v>
      </c>
      <c r="I38" s="137"/>
      <c r="J38" s="13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37.5" customHeight="1" x14ac:dyDescent="0.25">
      <c r="A39" s="195" t="s">
        <v>55</v>
      </c>
      <c r="B39" s="137"/>
      <c r="C39" s="137"/>
      <c r="D39" s="137"/>
      <c r="E39" s="137"/>
      <c r="F39" s="137"/>
      <c r="G39" s="135"/>
      <c r="H39" s="127"/>
      <c r="I39" s="128">
        <f>H38/C9</f>
        <v>1999209.6</v>
      </c>
      <c r="J39" s="12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1" customHeight="1" x14ac:dyDescent="0.25">
      <c r="A40" s="4"/>
      <c r="B40" s="2"/>
      <c r="C40" s="2"/>
      <c r="D40" s="2"/>
      <c r="E40" s="48"/>
      <c r="F40" s="48"/>
      <c r="G40" s="49"/>
      <c r="H40" s="49"/>
      <c r="I40" s="50"/>
      <c r="J40" s="5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1" customHeight="1" x14ac:dyDescent="0.25">
      <c r="A41" s="4"/>
      <c r="B41" s="2"/>
      <c r="C41" s="2"/>
      <c r="D41" s="2"/>
      <c r="E41" s="48"/>
      <c r="F41" s="48"/>
      <c r="G41" s="49"/>
      <c r="H41" s="49"/>
      <c r="I41" s="50"/>
      <c r="J41" s="50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1" customHeight="1" x14ac:dyDescent="0.25">
      <c r="A42" s="4"/>
      <c r="B42" s="2"/>
      <c r="C42" s="2"/>
      <c r="D42" s="2"/>
      <c r="E42" s="48"/>
      <c r="F42" s="48"/>
      <c r="G42" s="49"/>
      <c r="H42" s="49"/>
      <c r="I42" s="50"/>
      <c r="J42" s="50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1" customHeight="1" x14ac:dyDescent="0.25">
      <c r="A43" s="4"/>
      <c r="B43" s="2"/>
      <c r="C43" s="2"/>
      <c r="D43" s="2"/>
      <c r="E43" s="48"/>
      <c r="F43" s="48"/>
      <c r="G43" s="49"/>
      <c r="H43" s="49"/>
      <c r="I43" s="50"/>
      <c r="J43" s="50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1" customHeight="1" x14ac:dyDescent="0.25">
      <c r="A44" s="4"/>
      <c r="B44" s="2"/>
      <c r="C44" s="2"/>
      <c r="D44" s="2"/>
      <c r="E44" s="48"/>
      <c r="F44" s="48"/>
      <c r="G44" s="49"/>
      <c r="H44" s="49"/>
      <c r="I44" s="50"/>
      <c r="J44" s="50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1" customHeight="1" x14ac:dyDescent="0.25">
      <c r="A45" s="4"/>
      <c r="B45" s="2"/>
      <c r="C45" s="2"/>
      <c r="D45" s="2"/>
      <c r="E45" s="48"/>
      <c r="F45" s="48"/>
      <c r="G45" s="49"/>
      <c r="H45" s="49"/>
      <c r="I45" s="50"/>
      <c r="J45" s="50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1" customHeight="1" x14ac:dyDescent="0.25">
      <c r="A46" s="4"/>
      <c r="B46" s="2"/>
      <c r="C46" s="2"/>
      <c r="D46" s="2"/>
      <c r="E46" s="48"/>
      <c r="F46" s="48"/>
      <c r="G46" s="49"/>
      <c r="H46" s="49"/>
      <c r="I46" s="50"/>
      <c r="J46" s="5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1" customHeight="1" x14ac:dyDescent="0.25">
      <c r="A47" s="4"/>
      <c r="B47" s="2"/>
      <c r="C47" s="2"/>
      <c r="D47" s="2"/>
      <c r="E47" s="48"/>
      <c r="F47" s="48"/>
      <c r="G47" s="49"/>
      <c r="H47" s="49"/>
      <c r="I47" s="50"/>
      <c r="J47" s="5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1" customHeight="1" x14ac:dyDescent="0.25">
      <c r="A48" s="4"/>
      <c r="B48" s="2"/>
      <c r="C48" s="2"/>
      <c r="D48" s="2"/>
      <c r="E48" s="48"/>
      <c r="F48" s="48"/>
      <c r="G48" s="49"/>
      <c r="H48" s="49"/>
      <c r="I48" s="50"/>
      <c r="J48" s="5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1" customHeight="1" x14ac:dyDescent="0.25">
      <c r="A49" s="4"/>
      <c r="B49" s="2"/>
      <c r="C49" s="2"/>
      <c r="D49" s="2"/>
      <c r="E49" s="48"/>
      <c r="F49" s="48"/>
      <c r="G49" s="49"/>
      <c r="H49" s="49"/>
      <c r="I49" s="50"/>
      <c r="J49" s="50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1" customHeight="1" x14ac:dyDescent="0.25">
      <c r="A50" s="4"/>
      <c r="B50" s="2"/>
      <c r="C50" s="2"/>
      <c r="D50" s="2"/>
      <c r="E50" s="48"/>
      <c r="F50" s="48"/>
      <c r="G50" s="49"/>
      <c r="H50" s="49"/>
      <c r="I50" s="50"/>
      <c r="J50" s="50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1" customHeight="1" x14ac:dyDescent="0.25">
      <c r="A51" s="4"/>
      <c r="B51" s="2"/>
      <c r="C51" s="2"/>
      <c r="D51" s="2"/>
      <c r="E51" s="48"/>
      <c r="F51" s="48"/>
      <c r="G51" s="49"/>
      <c r="H51" s="49"/>
      <c r="I51" s="50"/>
      <c r="J51" s="50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1" customHeight="1" x14ac:dyDescent="0.25">
      <c r="A52" s="4"/>
      <c r="B52" s="2"/>
      <c r="C52" s="2"/>
      <c r="D52" s="2"/>
      <c r="E52" s="48"/>
      <c r="F52" s="48"/>
      <c r="G52" s="49"/>
      <c r="H52" s="49"/>
      <c r="I52" s="50"/>
      <c r="J52" s="5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1" customHeight="1" x14ac:dyDescent="0.25">
      <c r="A53" s="4"/>
      <c r="B53" s="2"/>
      <c r="C53" s="2"/>
      <c r="D53" s="2"/>
      <c r="E53" s="48"/>
      <c r="F53" s="48"/>
      <c r="G53" s="49"/>
      <c r="H53" s="49"/>
      <c r="I53" s="50"/>
      <c r="J53" s="5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1" customHeight="1" x14ac:dyDescent="0.25">
      <c r="A54" s="4"/>
      <c r="B54" s="2"/>
      <c r="C54" s="2"/>
      <c r="D54" s="2"/>
      <c r="E54" s="48"/>
      <c r="F54" s="48"/>
      <c r="G54" s="49"/>
      <c r="H54" s="49"/>
      <c r="I54" s="50"/>
      <c r="J54" s="5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1" customHeight="1" x14ac:dyDescent="0.25">
      <c r="A55" s="4"/>
      <c r="B55" s="2"/>
      <c r="C55" s="2"/>
      <c r="D55" s="2"/>
      <c r="E55" s="48"/>
      <c r="F55" s="48"/>
      <c r="G55" s="49"/>
      <c r="H55" s="49"/>
      <c r="I55" s="50"/>
      <c r="J55" s="5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1" customHeight="1" x14ac:dyDescent="0.25">
      <c r="A56" s="4"/>
      <c r="B56" s="2"/>
      <c r="C56" s="2"/>
      <c r="D56" s="2"/>
      <c r="E56" s="48"/>
      <c r="F56" s="48"/>
      <c r="G56" s="49"/>
      <c r="H56" s="49"/>
      <c r="I56" s="50"/>
      <c r="J56" s="5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1" customHeight="1" x14ac:dyDescent="0.25">
      <c r="A57" s="4"/>
      <c r="B57" s="2"/>
      <c r="C57" s="2"/>
      <c r="D57" s="2"/>
      <c r="E57" s="48"/>
      <c r="F57" s="48"/>
      <c r="G57" s="49"/>
      <c r="H57" s="49"/>
      <c r="I57" s="50"/>
      <c r="J57" s="50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1" customHeight="1" x14ac:dyDescent="0.25">
      <c r="A58" s="4"/>
      <c r="B58" s="2"/>
      <c r="C58" s="2"/>
      <c r="D58" s="2"/>
      <c r="E58" s="48"/>
      <c r="F58" s="48"/>
      <c r="G58" s="49"/>
      <c r="H58" s="49"/>
      <c r="I58" s="50"/>
      <c r="J58" s="50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1" customHeight="1" x14ac:dyDescent="0.25">
      <c r="A59" s="4"/>
      <c r="B59" s="2"/>
      <c r="C59" s="2"/>
      <c r="D59" s="2"/>
      <c r="E59" s="48"/>
      <c r="F59" s="48"/>
      <c r="G59" s="49"/>
      <c r="H59" s="49"/>
      <c r="I59" s="50"/>
      <c r="J59" s="50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1" customHeight="1" x14ac:dyDescent="0.25">
      <c r="A60" s="4"/>
      <c r="B60" s="2"/>
      <c r="C60" s="2"/>
      <c r="D60" s="2"/>
      <c r="E60" s="48"/>
      <c r="F60" s="48"/>
      <c r="G60" s="49"/>
      <c r="H60" s="49"/>
      <c r="I60" s="50"/>
      <c r="J60" s="5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1" customHeight="1" x14ac:dyDescent="0.25">
      <c r="A61" s="4"/>
      <c r="B61" s="2"/>
      <c r="C61" s="2"/>
      <c r="D61" s="2"/>
      <c r="E61" s="48"/>
      <c r="F61" s="48"/>
      <c r="G61" s="49"/>
      <c r="H61" s="49"/>
      <c r="I61" s="50"/>
      <c r="J61" s="5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1" customHeight="1" x14ac:dyDescent="0.25">
      <c r="A62" s="4"/>
      <c r="B62" s="2"/>
      <c r="C62" s="2"/>
      <c r="D62" s="2"/>
      <c r="E62" s="48"/>
      <c r="F62" s="48"/>
      <c r="G62" s="49"/>
      <c r="H62" s="49"/>
      <c r="I62" s="50"/>
      <c r="J62" s="5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1" customHeight="1" x14ac:dyDescent="0.25">
      <c r="A63" s="4"/>
      <c r="B63" s="2"/>
      <c r="C63" s="2"/>
      <c r="D63" s="2"/>
      <c r="E63" s="48"/>
      <c r="F63" s="48"/>
      <c r="G63" s="49"/>
      <c r="H63" s="49"/>
      <c r="I63" s="50"/>
      <c r="J63" s="50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1" customHeight="1" x14ac:dyDescent="0.25">
      <c r="A64" s="4"/>
      <c r="B64" s="2"/>
      <c r="C64" s="2"/>
      <c r="D64" s="2"/>
      <c r="E64" s="48"/>
      <c r="F64" s="48"/>
      <c r="G64" s="49"/>
      <c r="H64" s="49"/>
      <c r="I64" s="50"/>
      <c r="J64" s="50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1" customHeight="1" x14ac:dyDescent="0.25">
      <c r="A65" s="4"/>
      <c r="B65" s="2"/>
      <c r="C65" s="2"/>
      <c r="D65" s="2"/>
      <c r="E65" s="48"/>
      <c r="F65" s="48"/>
      <c r="G65" s="49"/>
      <c r="H65" s="49"/>
      <c r="I65" s="50"/>
      <c r="J65" s="5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1" customHeight="1" x14ac:dyDescent="0.25">
      <c r="A66" s="4"/>
      <c r="B66" s="2"/>
      <c r="C66" s="2"/>
      <c r="D66" s="2"/>
      <c r="E66" s="48"/>
      <c r="F66" s="48"/>
      <c r="G66" s="49"/>
      <c r="H66" s="49"/>
      <c r="I66" s="50"/>
      <c r="J66" s="5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1" customHeight="1" x14ac:dyDescent="0.25">
      <c r="A67" s="4"/>
      <c r="B67" s="2"/>
      <c r="C67" s="2"/>
      <c r="D67" s="2"/>
      <c r="E67" s="48"/>
      <c r="F67" s="48"/>
      <c r="G67" s="49"/>
      <c r="H67" s="49"/>
      <c r="I67" s="50"/>
      <c r="J67" s="5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1" customHeight="1" x14ac:dyDescent="0.25">
      <c r="A68" s="4"/>
      <c r="B68" s="2"/>
      <c r="C68" s="2"/>
      <c r="D68" s="2"/>
      <c r="E68" s="48"/>
      <c r="F68" s="48"/>
      <c r="G68" s="49"/>
      <c r="H68" s="49"/>
      <c r="I68" s="50"/>
      <c r="J68" s="5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1" customHeight="1" x14ac:dyDescent="0.25">
      <c r="A69" s="4"/>
      <c r="B69" s="2"/>
      <c r="C69" s="2"/>
      <c r="D69" s="2"/>
      <c r="E69" s="48"/>
      <c r="F69" s="48"/>
      <c r="G69" s="49"/>
      <c r="H69" s="49"/>
      <c r="I69" s="50"/>
      <c r="J69" s="5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1" customHeight="1" x14ac:dyDescent="0.25">
      <c r="A70" s="4"/>
      <c r="B70" s="2"/>
      <c r="C70" s="2"/>
      <c r="D70" s="2"/>
      <c r="E70" s="48"/>
      <c r="F70" s="48"/>
      <c r="G70" s="49"/>
      <c r="H70" s="49"/>
      <c r="I70" s="50"/>
      <c r="J70" s="5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1" customHeight="1" x14ac:dyDescent="0.25">
      <c r="A71" s="4"/>
      <c r="B71" s="2"/>
      <c r="C71" s="2"/>
      <c r="D71" s="2"/>
      <c r="E71" s="48"/>
      <c r="F71" s="48"/>
      <c r="G71" s="49"/>
      <c r="H71" s="49"/>
      <c r="I71" s="50"/>
      <c r="J71" s="5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1" customHeight="1" x14ac:dyDescent="0.25">
      <c r="A72" s="4"/>
      <c r="B72" s="2"/>
      <c r="C72" s="2"/>
      <c r="D72" s="2"/>
      <c r="E72" s="48"/>
      <c r="F72" s="48"/>
      <c r="G72" s="49"/>
      <c r="H72" s="49"/>
      <c r="I72" s="50"/>
      <c r="J72" s="5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1" customHeight="1" x14ac:dyDescent="0.25">
      <c r="A73" s="4"/>
      <c r="B73" s="2"/>
      <c r="C73" s="2"/>
      <c r="D73" s="2"/>
      <c r="E73" s="48"/>
      <c r="F73" s="48"/>
      <c r="G73" s="49"/>
      <c r="H73" s="49"/>
      <c r="I73" s="50"/>
      <c r="J73" s="5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1" customHeight="1" x14ac:dyDescent="0.25">
      <c r="A74" s="4"/>
      <c r="B74" s="2"/>
      <c r="C74" s="2"/>
      <c r="D74" s="2"/>
      <c r="E74" s="48"/>
      <c r="F74" s="48"/>
      <c r="G74" s="49"/>
      <c r="H74" s="49"/>
      <c r="I74" s="50"/>
      <c r="J74" s="5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1" customHeight="1" x14ac:dyDescent="0.25">
      <c r="A75" s="4"/>
      <c r="B75" s="2"/>
      <c r="C75" s="2"/>
      <c r="D75" s="2"/>
      <c r="E75" s="48"/>
      <c r="F75" s="48"/>
      <c r="G75" s="49"/>
      <c r="H75" s="49"/>
      <c r="I75" s="50"/>
      <c r="J75" s="5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1" customHeight="1" x14ac:dyDescent="0.25">
      <c r="A76" s="4"/>
      <c r="B76" s="2"/>
      <c r="C76" s="2"/>
      <c r="D76" s="2"/>
      <c r="E76" s="48"/>
      <c r="F76" s="48"/>
      <c r="G76" s="49"/>
      <c r="H76" s="49"/>
      <c r="I76" s="50"/>
      <c r="J76" s="5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1" customHeight="1" x14ac:dyDescent="0.25">
      <c r="A77" s="4"/>
      <c r="B77" s="2"/>
      <c r="C77" s="2"/>
      <c r="D77" s="2"/>
      <c r="E77" s="48"/>
      <c r="F77" s="48"/>
      <c r="G77" s="49"/>
      <c r="H77" s="49"/>
      <c r="I77" s="50"/>
      <c r="J77" s="5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1" customHeight="1" x14ac:dyDescent="0.25">
      <c r="A78" s="4"/>
      <c r="B78" s="2"/>
      <c r="C78" s="2"/>
      <c r="D78" s="2"/>
      <c r="E78" s="48"/>
      <c r="F78" s="48"/>
      <c r="G78" s="49"/>
      <c r="H78" s="49"/>
      <c r="I78" s="50"/>
      <c r="J78" s="5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1" customHeight="1" x14ac:dyDescent="0.25">
      <c r="A79" s="4"/>
      <c r="B79" s="2"/>
      <c r="C79" s="2"/>
      <c r="D79" s="2"/>
      <c r="E79" s="48"/>
      <c r="F79" s="48"/>
      <c r="G79" s="49"/>
      <c r="H79" s="49"/>
      <c r="I79" s="50"/>
      <c r="J79" s="5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1" customHeight="1" x14ac:dyDescent="0.25">
      <c r="A80" s="4"/>
      <c r="B80" s="2"/>
      <c r="C80" s="2"/>
      <c r="D80" s="2"/>
      <c r="E80" s="48"/>
      <c r="F80" s="48"/>
      <c r="G80" s="49"/>
      <c r="H80" s="49"/>
      <c r="I80" s="50"/>
      <c r="J80" s="5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1" customHeight="1" x14ac:dyDescent="0.25">
      <c r="A81" s="4"/>
      <c r="B81" s="2"/>
      <c r="C81" s="2"/>
      <c r="D81" s="2"/>
      <c r="E81" s="48"/>
      <c r="F81" s="48"/>
      <c r="G81" s="49"/>
      <c r="H81" s="49"/>
      <c r="I81" s="50"/>
      <c r="J81" s="5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1" customHeight="1" x14ac:dyDescent="0.25">
      <c r="A82" s="4"/>
      <c r="B82" s="2"/>
      <c r="C82" s="2"/>
      <c r="D82" s="2"/>
      <c r="E82" s="48"/>
      <c r="F82" s="48"/>
      <c r="G82" s="49"/>
      <c r="H82" s="49"/>
      <c r="I82" s="50"/>
      <c r="J82" s="5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1" customHeight="1" x14ac:dyDescent="0.25">
      <c r="A83" s="4"/>
      <c r="B83" s="2"/>
      <c r="C83" s="2"/>
      <c r="D83" s="2"/>
      <c r="E83" s="48"/>
      <c r="F83" s="48"/>
      <c r="G83" s="49"/>
      <c r="H83" s="49"/>
      <c r="I83" s="50"/>
      <c r="J83" s="5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1" customHeight="1" x14ac:dyDescent="0.25">
      <c r="A84" s="4"/>
      <c r="B84" s="2"/>
      <c r="C84" s="2"/>
      <c r="D84" s="2"/>
      <c r="E84" s="48"/>
      <c r="F84" s="48"/>
      <c r="G84" s="49"/>
      <c r="H84" s="49"/>
      <c r="I84" s="50"/>
      <c r="J84" s="5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1" customHeight="1" x14ac:dyDescent="0.25">
      <c r="A85" s="4"/>
      <c r="B85" s="2"/>
      <c r="C85" s="2"/>
      <c r="D85" s="2"/>
      <c r="E85" s="48"/>
      <c r="F85" s="48"/>
      <c r="G85" s="49"/>
      <c r="H85" s="49"/>
      <c r="I85" s="50"/>
      <c r="J85" s="5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1" customHeight="1" x14ac:dyDescent="0.25">
      <c r="A86" s="4"/>
      <c r="B86" s="2"/>
      <c r="C86" s="2"/>
      <c r="D86" s="2"/>
      <c r="E86" s="48"/>
      <c r="F86" s="48"/>
      <c r="G86" s="49"/>
      <c r="H86" s="49"/>
      <c r="I86" s="50"/>
      <c r="J86" s="5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1" customHeight="1" x14ac:dyDescent="0.25">
      <c r="A87" s="4"/>
      <c r="B87" s="2"/>
      <c r="C87" s="2"/>
      <c r="D87" s="2"/>
      <c r="E87" s="48"/>
      <c r="F87" s="48"/>
      <c r="G87" s="49"/>
      <c r="H87" s="49"/>
      <c r="I87" s="50"/>
      <c r="J87" s="5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1" customHeight="1" x14ac:dyDescent="0.25">
      <c r="A88" s="4"/>
      <c r="B88" s="2"/>
      <c r="C88" s="2"/>
      <c r="D88" s="2"/>
      <c r="E88" s="48"/>
      <c r="F88" s="48"/>
      <c r="G88" s="49"/>
      <c r="H88" s="49"/>
      <c r="I88" s="50"/>
      <c r="J88" s="50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1" customHeight="1" x14ac:dyDescent="0.25">
      <c r="A89" s="4"/>
      <c r="B89" s="2"/>
      <c r="C89" s="2"/>
      <c r="D89" s="2"/>
      <c r="E89" s="48"/>
      <c r="F89" s="48"/>
      <c r="G89" s="49"/>
      <c r="H89" s="49"/>
      <c r="I89" s="50"/>
      <c r="J89" s="5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1" customHeight="1" x14ac:dyDescent="0.25">
      <c r="A90" s="4"/>
      <c r="B90" s="2"/>
      <c r="C90" s="2"/>
      <c r="D90" s="2"/>
      <c r="E90" s="48"/>
      <c r="F90" s="48"/>
      <c r="G90" s="49"/>
      <c r="H90" s="49"/>
      <c r="I90" s="50"/>
      <c r="J90" s="5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1" customHeight="1" x14ac:dyDescent="0.25">
      <c r="A91" s="4"/>
      <c r="B91" s="2"/>
      <c r="C91" s="2"/>
      <c r="D91" s="2"/>
      <c r="E91" s="48"/>
      <c r="F91" s="48"/>
      <c r="G91" s="49"/>
      <c r="H91" s="49"/>
      <c r="I91" s="50"/>
      <c r="J91" s="5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1" customHeight="1" x14ac:dyDescent="0.25">
      <c r="A92" s="4"/>
      <c r="B92" s="2"/>
      <c r="C92" s="2"/>
      <c r="D92" s="2"/>
      <c r="E92" s="48"/>
      <c r="F92" s="48"/>
      <c r="G92" s="49"/>
      <c r="H92" s="49"/>
      <c r="I92" s="50"/>
      <c r="J92" s="5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1" customHeight="1" x14ac:dyDescent="0.25">
      <c r="A93" s="4"/>
      <c r="B93" s="2"/>
      <c r="C93" s="2"/>
      <c r="D93" s="2"/>
      <c r="E93" s="48"/>
      <c r="F93" s="48"/>
      <c r="G93" s="49"/>
      <c r="H93" s="49"/>
      <c r="I93" s="50"/>
      <c r="J93" s="5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1" customHeight="1" x14ac:dyDescent="0.25">
      <c r="A94" s="4"/>
      <c r="B94" s="2"/>
      <c r="C94" s="2"/>
      <c r="D94" s="2"/>
      <c r="E94" s="48"/>
      <c r="F94" s="48"/>
      <c r="G94" s="49"/>
      <c r="H94" s="49"/>
      <c r="I94" s="50"/>
      <c r="J94" s="5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1" customHeight="1" x14ac:dyDescent="0.25">
      <c r="A95" s="4"/>
      <c r="B95" s="2"/>
      <c r="C95" s="2"/>
      <c r="D95" s="2"/>
      <c r="E95" s="48"/>
      <c r="F95" s="48"/>
      <c r="G95" s="49"/>
      <c r="H95" s="49"/>
      <c r="I95" s="50"/>
      <c r="J95" s="50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1" customHeight="1" x14ac:dyDescent="0.25">
      <c r="A96" s="4"/>
      <c r="B96" s="2"/>
      <c r="C96" s="2"/>
      <c r="D96" s="2"/>
      <c r="E96" s="48"/>
      <c r="F96" s="48"/>
      <c r="G96" s="49"/>
      <c r="H96" s="49"/>
      <c r="I96" s="50"/>
      <c r="J96" s="50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1" customHeight="1" x14ac:dyDescent="0.25">
      <c r="A97" s="4"/>
      <c r="B97" s="2"/>
      <c r="C97" s="2"/>
      <c r="D97" s="2"/>
      <c r="E97" s="48"/>
      <c r="F97" s="48"/>
      <c r="G97" s="49"/>
      <c r="H97" s="49"/>
      <c r="I97" s="50"/>
      <c r="J97" s="50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1" customHeight="1" x14ac:dyDescent="0.25">
      <c r="A98" s="4"/>
      <c r="B98" s="2"/>
      <c r="C98" s="2"/>
      <c r="D98" s="2"/>
      <c r="E98" s="48"/>
      <c r="F98" s="48"/>
      <c r="G98" s="49"/>
      <c r="H98" s="49"/>
      <c r="I98" s="50"/>
      <c r="J98" s="50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1" customHeight="1" x14ac:dyDescent="0.25">
      <c r="A99" s="4"/>
      <c r="B99" s="2"/>
      <c r="C99" s="2"/>
      <c r="D99" s="2"/>
      <c r="E99" s="48"/>
      <c r="F99" s="48"/>
      <c r="G99" s="49"/>
      <c r="H99" s="49"/>
      <c r="I99" s="50"/>
      <c r="J99" s="50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1" customHeight="1" x14ac:dyDescent="0.25">
      <c r="A100" s="4"/>
      <c r="B100" s="2"/>
      <c r="C100" s="2"/>
      <c r="D100" s="2"/>
      <c r="E100" s="48"/>
      <c r="F100" s="48"/>
      <c r="G100" s="49"/>
      <c r="H100" s="49"/>
      <c r="I100" s="50"/>
      <c r="J100" s="50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1" customHeight="1" x14ac:dyDescent="0.25">
      <c r="A101" s="4"/>
      <c r="B101" s="2"/>
      <c r="C101" s="2"/>
      <c r="D101" s="2"/>
      <c r="E101" s="48"/>
      <c r="F101" s="48"/>
      <c r="G101" s="49"/>
      <c r="H101" s="49"/>
      <c r="I101" s="50"/>
      <c r="J101" s="50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1"/>
      <c r="B102" s="1"/>
      <c r="C102" s="2"/>
      <c r="D102" s="1"/>
      <c r="E102" s="1"/>
      <c r="F102" s="1"/>
      <c r="G102" s="7"/>
      <c r="H102" s="7"/>
      <c r="I102" s="1"/>
      <c r="J102" s="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1"/>
      <c r="B103" s="1"/>
      <c r="C103" s="2"/>
      <c r="D103" s="1"/>
      <c r="E103" s="1"/>
      <c r="F103" s="1"/>
      <c r="G103" s="7"/>
      <c r="H103" s="7"/>
      <c r="I103" s="1"/>
      <c r="J103" s="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1"/>
      <c r="B104" s="1"/>
      <c r="C104" s="2"/>
      <c r="D104" s="1"/>
      <c r="E104" s="1"/>
      <c r="F104" s="1"/>
      <c r="G104" s="7"/>
      <c r="H104" s="7"/>
      <c r="I104" s="1"/>
      <c r="J104" s="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1"/>
      <c r="B105" s="1"/>
      <c r="C105" s="2"/>
      <c r="D105" s="1"/>
      <c r="E105" s="1"/>
      <c r="F105" s="1"/>
      <c r="G105" s="7"/>
      <c r="H105" s="7"/>
      <c r="I105" s="1"/>
      <c r="J105" s="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1"/>
      <c r="B106" s="1"/>
      <c r="C106" s="2"/>
      <c r="D106" s="1"/>
      <c r="E106" s="1"/>
      <c r="F106" s="1"/>
      <c r="G106" s="7"/>
      <c r="H106" s="7"/>
      <c r="I106" s="1"/>
      <c r="J106" s="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1"/>
      <c r="B107" s="1"/>
      <c r="C107" s="2"/>
      <c r="D107" s="1"/>
      <c r="E107" s="1"/>
      <c r="F107" s="1"/>
      <c r="G107" s="7"/>
      <c r="H107" s="7"/>
      <c r="I107" s="1"/>
      <c r="J107" s="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1"/>
      <c r="B108" s="1"/>
      <c r="C108" s="2"/>
      <c r="D108" s="1"/>
      <c r="E108" s="1"/>
      <c r="F108" s="1"/>
      <c r="G108" s="7"/>
      <c r="H108" s="7"/>
      <c r="I108" s="1"/>
      <c r="J108" s="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1"/>
      <c r="B109" s="1"/>
      <c r="C109" s="2"/>
      <c r="D109" s="1"/>
      <c r="E109" s="1"/>
      <c r="F109" s="1"/>
      <c r="G109" s="7"/>
      <c r="H109" s="7"/>
      <c r="I109" s="1"/>
      <c r="J109" s="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1"/>
      <c r="B110" s="1"/>
      <c r="C110" s="2"/>
      <c r="D110" s="1"/>
      <c r="E110" s="1"/>
      <c r="F110" s="1"/>
      <c r="G110" s="7"/>
      <c r="H110" s="7"/>
      <c r="I110" s="1"/>
      <c r="J110" s="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1"/>
      <c r="B111" s="1"/>
      <c r="C111" s="2"/>
      <c r="D111" s="1"/>
      <c r="E111" s="1"/>
      <c r="F111" s="1"/>
      <c r="G111" s="7"/>
      <c r="H111" s="7"/>
      <c r="I111" s="1"/>
      <c r="J111" s="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1"/>
      <c r="B112" s="1"/>
      <c r="C112" s="2"/>
      <c r="D112" s="1"/>
      <c r="E112" s="1"/>
      <c r="F112" s="1"/>
      <c r="G112" s="7"/>
      <c r="H112" s="7"/>
      <c r="I112" s="1"/>
      <c r="J112" s="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1"/>
      <c r="B113" s="1"/>
      <c r="C113" s="2"/>
      <c r="D113" s="1"/>
      <c r="E113" s="1"/>
      <c r="F113" s="1"/>
      <c r="G113" s="7"/>
      <c r="H113" s="7"/>
      <c r="I113" s="1"/>
      <c r="J113" s="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1"/>
      <c r="B114" s="1"/>
      <c r="C114" s="2"/>
      <c r="D114" s="1"/>
      <c r="E114" s="1"/>
      <c r="F114" s="1"/>
      <c r="G114" s="7"/>
      <c r="H114" s="7"/>
      <c r="I114" s="1"/>
      <c r="J114" s="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1"/>
      <c r="B115" s="1"/>
      <c r="C115" s="2"/>
      <c r="D115" s="1"/>
      <c r="E115" s="1"/>
      <c r="F115" s="1"/>
      <c r="G115" s="7"/>
      <c r="H115" s="7"/>
      <c r="I115" s="1"/>
      <c r="J115" s="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1"/>
      <c r="B116" s="1"/>
      <c r="C116" s="2"/>
      <c r="D116" s="1"/>
      <c r="E116" s="1"/>
      <c r="F116" s="1"/>
      <c r="G116" s="7"/>
      <c r="H116" s="7"/>
      <c r="I116" s="1"/>
      <c r="J116" s="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1"/>
      <c r="B117" s="1"/>
      <c r="C117" s="2"/>
      <c r="D117" s="1"/>
      <c r="E117" s="1"/>
      <c r="F117" s="1"/>
      <c r="G117" s="7"/>
      <c r="H117" s="7"/>
      <c r="I117" s="1"/>
      <c r="J117" s="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1"/>
      <c r="B118" s="1"/>
      <c r="C118" s="2"/>
      <c r="D118" s="1"/>
      <c r="E118" s="1"/>
      <c r="F118" s="1"/>
      <c r="G118" s="7"/>
      <c r="H118" s="7"/>
      <c r="I118" s="1"/>
      <c r="J118" s="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1"/>
      <c r="B119" s="1"/>
      <c r="C119" s="2"/>
      <c r="D119" s="1"/>
      <c r="E119" s="1"/>
      <c r="F119" s="1"/>
      <c r="G119" s="7"/>
      <c r="H119" s="7"/>
      <c r="I119" s="1"/>
      <c r="J119" s="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1"/>
      <c r="B120" s="1"/>
      <c r="C120" s="2"/>
      <c r="D120" s="1"/>
      <c r="E120" s="1"/>
      <c r="F120" s="1"/>
      <c r="G120" s="7"/>
      <c r="H120" s="7"/>
      <c r="I120" s="1"/>
      <c r="J120" s="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1"/>
      <c r="B121" s="1"/>
      <c r="C121" s="2"/>
      <c r="D121" s="1"/>
      <c r="E121" s="1"/>
      <c r="F121" s="1"/>
      <c r="G121" s="7"/>
      <c r="H121" s="7"/>
      <c r="I121" s="1"/>
      <c r="J121" s="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1"/>
      <c r="B122" s="1"/>
      <c r="C122" s="2"/>
      <c r="D122" s="1"/>
      <c r="E122" s="1"/>
      <c r="F122" s="1"/>
      <c r="G122" s="7"/>
      <c r="H122" s="7"/>
      <c r="I122" s="1"/>
      <c r="J122" s="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1"/>
      <c r="B123" s="1"/>
      <c r="C123" s="2"/>
      <c r="D123" s="1"/>
      <c r="E123" s="1"/>
      <c r="F123" s="1"/>
      <c r="G123" s="7"/>
      <c r="H123" s="7"/>
      <c r="I123" s="1"/>
      <c r="J123" s="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1"/>
      <c r="B124" s="1"/>
      <c r="C124" s="2"/>
      <c r="D124" s="1"/>
      <c r="E124" s="1"/>
      <c r="F124" s="1"/>
      <c r="G124" s="7"/>
      <c r="H124" s="7"/>
      <c r="I124" s="1"/>
      <c r="J124" s="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1"/>
      <c r="B125" s="1"/>
      <c r="C125" s="2"/>
      <c r="D125" s="1"/>
      <c r="E125" s="1"/>
      <c r="F125" s="1"/>
      <c r="G125" s="7"/>
      <c r="H125" s="7"/>
      <c r="I125" s="1"/>
      <c r="J125" s="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1"/>
      <c r="B126" s="1"/>
      <c r="C126" s="2"/>
      <c r="D126" s="1"/>
      <c r="E126" s="1"/>
      <c r="F126" s="1"/>
      <c r="G126" s="7"/>
      <c r="H126" s="7"/>
      <c r="I126" s="1"/>
      <c r="J126" s="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1"/>
      <c r="B127" s="1"/>
      <c r="C127" s="2"/>
      <c r="D127" s="1"/>
      <c r="E127" s="1"/>
      <c r="F127" s="1"/>
      <c r="G127" s="7"/>
      <c r="H127" s="7"/>
      <c r="I127" s="1"/>
      <c r="J127" s="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1"/>
      <c r="B128" s="1"/>
      <c r="C128" s="2"/>
      <c r="D128" s="1"/>
      <c r="E128" s="1"/>
      <c r="F128" s="1"/>
      <c r="G128" s="7"/>
      <c r="H128" s="7"/>
      <c r="I128" s="1"/>
      <c r="J128" s="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1"/>
      <c r="B129" s="1"/>
      <c r="C129" s="2"/>
      <c r="D129" s="1"/>
      <c r="E129" s="1"/>
      <c r="F129" s="1"/>
      <c r="G129" s="7"/>
      <c r="H129" s="7"/>
      <c r="I129" s="1"/>
      <c r="J129" s="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1"/>
      <c r="B130" s="1"/>
      <c r="C130" s="2"/>
      <c r="D130" s="1"/>
      <c r="E130" s="1"/>
      <c r="F130" s="1"/>
      <c r="G130" s="7"/>
      <c r="H130" s="7"/>
      <c r="I130" s="1"/>
      <c r="J130" s="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1"/>
      <c r="B131" s="1"/>
      <c r="C131" s="2"/>
      <c r="D131" s="1"/>
      <c r="E131" s="1"/>
      <c r="F131" s="1"/>
      <c r="G131" s="7"/>
      <c r="H131" s="7"/>
      <c r="I131" s="1"/>
      <c r="J131" s="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1"/>
      <c r="B132" s="1"/>
      <c r="C132" s="2"/>
      <c r="D132" s="1"/>
      <c r="E132" s="1"/>
      <c r="F132" s="1"/>
      <c r="G132" s="7"/>
      <c r="H132" s="7"/>
      <c r="I132" s="1"/>
      <c r="J132" s="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1"/>
      <c r="B133" s="1"/>
      <c r="C133" s="2"/>
      <c r="D133" s="1"/>
      <c r="E133" s="1"/>
      <c r="F133" s="1"/>
      <c r="G133" s="7"/>
      <c r="H133" s="7"/>
      <c r="I133" s="1"/>
      <c r="J133" s="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1"/>
      <c r="B134" s="1"/>
      <c r="C134" s="2"/>
      <c r="D134" s="1"/>
      <c r="E134" s="1"/>
      <c r="F134" s="1"/>
      <c r="G134" s="7"/>
      <c r="H134" s="7"/>
      <c r="I134" s="1"/>
      <c r="J134" s="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1"/>
      <c r="B135" s="1"/>
      <c r="C135" s="2"/>
      <c r="D135" s="1"/>
      <c r="E135" s="1"/>
      <c r="F135" s="1"/>
      <c r="G135" s="7"/>
      <c r="H135" s="7"/>
      <c r="I135" s="1"/>
      <c r="J135" s="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1"/>
      <c r="B136" s="1"/>
      <c r="C136" s="2"/>
      <c r="D136" s="1"/>
      <c r="E136" s="1"/>
      <c r="F136" s="1"/>
      <c r="G136" s="7"/>
      <c r="H136" s="7"/>
      <c r="I136" s="1"/>
      <c r="J136" s="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1"/>
      <c r="B137" s="1"/>
      <c r="C137" s="2"/>
      <c r="D137" s="1"/>
      <c r="E137" s="1"/>
      <c r="F137" s="1"/>
      <c r="G137" s="7"/>
      <c r="H137" s="7"/>
      <c r="I137" s="1"/>
      <c r="J137" s="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1"/>
      <c r="B138" s="1"/>
      <c r="C138" s="2"/>
      <c r="D138" s="1"/>
      <c r="E138" s="1"/>
      <c r="F138" s="1"/>
      <c r="G138" s="7"/>
      <c r="H138" s="7"/>
      <c r="I138" s="1"/>
      <c r="J138" s="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1"/>
      <c r="B139" s="1"/>
      <c r="C139" s="2"/>
      <c r="D139" s="1"/>
      <c r="E139" s="1"/>
      <c r="F139" s="1"/>
      <c r="G139" s="7"/>
      <c r="H139" s="7"/>
      <c r="I139" s="1"/>
      <c r="J139" s="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1"/>
      <c r="B140" s="1"/>
      <c r="C140" s="2"/>
      <c r="D140" s="1"/>
      <c r="E140" s="1"/>
      <c r="F140" s="1"/>
      <c r="G140" s="7"/>
      <c r="H140" s="7"/>
      <c r="I140" s="1"/>
      <c r="J140" s="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1"/>
      <c r="B141" s="1"/>
      <c r="C141" s="2"/>
      <c r="D141" s="1"/>
      <c r="E141" s="1"/>
      <c r="F141" s="1"/>
      <c r="G141" s="7"/>
      <c r="H141" s="7"/>
      <c r="I141" s="1"/>
      <c r="J141" s="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1"/>
      <c r="B142" s="1"/>
      <c r="C142" s="2"/>
      <c r="D142" s="1"/>
      <c r="E142" s="1"/>
      <c r="F142" s="1"/>
      <c r="G142" s="7"/>
      <c r="H142" s="7"/>
      <c r="I142" s="1"/>
      <c r="J142" s="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1"/>
      <c r="B143" s="1"/>
      <c r="C143" s="2"/>
      <c r="D143" s="1"/>
      <c r="E143" s="1"/>
      <c r="F143" s="1"/>
      <c r="G143" s="7"/>
      <c r="H143" s="7"/>
      <c r="I143" s="1"/>
      <c r="J143" s="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1"/>
      <c r="B144" s="1"/>
      <c r="C144" s="2"/>
      <c r="D144" s="1"/>
      <c r="E144" s="1"/>
      <c r="F144" s="1"/>
      <c r="G144" s="7"/>
      <c r="H144" s="7"/>
      <c r="I144" s="1"/>
      <c r="J144" s="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1"/>
      <c r="B145" s="1"/>
      <c r="C145" s="2"/>
      <c r="D145" s="1"/>
      <c r="E145" s="1"/>
      <c r="F145" s="1"/>
      <c r="G145" s="7"/>
      <c r="H145" s="7"/>
      <c r="I145" s="1"/>
      <c r="J145" s="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1"/>
      <c r="B146" s="1"/>
      <c r="C146" s="2"/>
      <c r="D146" s="1"/>
      <c r="E146" s="1"/>
      <c r="F146" s="1"/>
      <c r="G146" s="7"/>
      <c r="H146" s="7"/>
      <c r="I146" s="1"/>
      <c r="J146" s="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1"/>
      <c r="B147" s="1"/>
      <c r="C147" s="2"/>
      <c r="D147" s="1"/>
      <c r="E147" s="1"/>
      <c r="F147" s="1"/>
      <c r="G147" s="7"/>
      <c r="H147" s="7"/>
      <c r="I147" s="1"/>
      <c r="J147" s="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1"/>
      <c r="B148" s="1"/>
      <c r="C148" s="2"/>
      <c r="D148" s="1"/>
      <c r="E148" s="1"/>
      <c r="F148" s="1"/>
      <c r="G148" s="7"/>
      <c r="H148" s="7"/>
      <c r="I148" s="1"/>
      <c r="J148" s="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1"/>
      <c r="B149" s="1"/>
      <c r="C149" s="2"/>
      <c r="D149" s="1"/>
      <c r="E149" s="1"/>
      <c r="F149" s="1"/>
      <c r="G149" s="7"/>
      <c r="H149" s="7"/>
      <c r="I149" s="1"/>
      <c r="J149" s="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1"/>
      <c r="B150" s="1"/>
      <c r="C150" s="2"/>
      <c r="D150" s="1"/>
      <c r="E150" s="1"/>
      <c r="F150" s="1"/>
      <c r="G150" s="7"/>
      <c r="H150" s="7"/>
      <c r="I150" s="1"/>
      <c r="J150" s="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1"/>
      <c r="B151" s="1"/>
      <c r="C151" s="2"/>
      <c r="D151" s="1"/>
      <c r="E151" s="1"/>
      <c r="F151" s="1"/>
      <c r="G151" s="7"/>
      <c r="H151" s="7"/>
      <c r="I151" s="1"/>
      <c r="J151" s="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1"/>
      <c r="B152" s="1"/>
      <c r="C152" s="2"/>
      <c r="D152" s="1"/>
      <c r="E152" s="1"/>
      <c r="F152" s="1"/>
      <c r="G152" s="7"/>
      <c r="H152" s="7"/>
      <c r="I152" s="1"/>
      <c r="J152" s="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1"/>
      <c r="B153" s="1"/>
      <c r="C153" s="2"/>
      <c r="D153" s="1"/>
      <c r="E153" s="1"/>
      <c r="F153" s="1"/>
      <c r="G153" s="7"/>
      <c r="H153" s="7"/>
      <c r="I153" s="1"/>
      <c r="J153" s="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1"/>
      <c r="B154" s="1"/>
      <c r="C154" s="2"/>
      <c r="D154" s="1"/>
      <c r="E154" s="1"/>
      <c r="F154" s="1"/>
      <c r="G154" s="7"/>
      <c r="H154" s="7"/>
      <c r="I154" s="1"/>
      <c r="J154" s="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1"/>
      <c r="B155" s="1"/>
      <c r="C155" s="2"/>
      <c r="D155" s="1"/>
      <c r="E155" s="1"/>
      <c r="F155" s="1"/>
      <c r="G155" s="7"/>
      <c r="H155" s="7"/>
      <c r="I155" s="1"/>
      <c r="J155" s="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1"/>
      <c r="B156" s="1"/>
      <c r="C156" s="2"/>
      <c r="D156" s="1"/>
      <c r="E156" s="1"/>
      <c r="F156" s="1"/>
      <c r="G156" s="7"/>
      <c r="H156" s="7"/>
      <c r="I156" s="1"/>
      <c r="J156" s="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1"/>
      <c r="B157" s="1"/>
      <c r="C157" s="2"/>
      <c r="D157" s="1"/>
      <c r="E157" s="1"/>
      <c r="F157" s="1"/>
      <c r="G157" s="7"/>
      <c r="H157" s="7"/>
      <c r="I157" s="1"/>
      <c r="J157" s="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1"/>
      <c r="B158" s="1"/>
      <c r="C158" s="2"/>
      <c r="D158" s="1"/>
      <c r="E158" s="1"/>
      <c r="F158" s="1"/>
      <c r="G158" s="7"/>
      <c r="H158" s="7"/>
      <c r="I158" s="1"/>
      <c r="J158" s="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1"/>
      <c r="B159" s="1"/>
      <c r="C159" s="2"/>
      <c r="D159" s="1"/>
      <c r="E159" s="1"/>
      <c r="F159" s="1"/>
      <c r="G159" s="7"/>
      <c r="H159" s="7"/>
      <c r="I159" s="1"/>
      <c r="J159" s="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1"/>
      <c r="B160" s="1"/>
      <c r="C160" s="2"/>
      <c r="D160" s="1"/>
      <c r="E160" s="1"/>
      <c r="F160" s="1"/>
      <c r="G160" s="7"/>
      <c r="H160" s="7"/>
      <c r="I160" s="1"/>
      <c r="J160" s="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1"/>
      <c r="B161" s="1"/>
      <c r="C161" s="2"/>
      <c r="D161" s="1"/>
      <c r="E161" s="1"/>
      <c r="F161" s="1"/>
      <c r="G161" s="7"/>
      <c r="H161" s="7"/>
      <c r="I161" s="1"/>
      <c r="J161" s="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1"/>
      <c r="B162" s="1"/>
      <c r="C162" s="2"/>
      <c r="D162" s="1"/>
      <c r="E162" s="1"/>
      <c r="F162" s="1"/>
      <c r="G162" s="7"/>
      <c r="H162" s="7"/>
      <c r="I162" s="1"/>
      <c r="J162" s="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1"/>
      <c r="B163" s="1"/>
      <c r="C163" s="2"/>
      <c r="D163" s="1"/>
      <c r="E163" s="1"/>
      <c r="F163" s="1"/>
      <c r="G163" s="7"/>
      <c r="H163" s="7"/>
      <c r="I163" s="1"/>
      <c r="J163" s="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1"/>
      <c r="B164" s="1"/>
      <c r="C164" s="2"/>
      <c r="D164" s="1"/>
      <c r="E164" s="1"/>
      <c r="F164" s="1"/>
      <c r="G164" s="7"/>
      <c r="H164" s="7"/>
      <c r="I164" s="1"/>
      <c r="J164" s="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1"/>
      <c r="B165" s="1"/>
      <c r="C165" s="2"/>
      <c r="D165" s="1"/>
      <c r="E165" s="1"/>
      <c r="F165" s="1"/>
      <c r="G165" s="7"/>
      <c r="H165" s="7"/>
      <c r="I165" s="1"/>
      <c r="J165" s="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1"/>
      <c r="B166" s="1"/>
      <c r="C166" s="2"/>
      <c r="D166" s="1"/>
      <c r="E166" s="1"/>
      <c r="F166" s="1"/>
      <c r="G166" s="7"/>
      <c r="H166" s="7"/>
      <c r="I166" s="1"/>
      <c r="J166" s="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1"/>
      <c r="B167" s="1"/>
      <c r="C167" s="2"/>
      <c r="D167" s="1"/>
      <c r="E167" s="1"/>
      <c r="F167" s="1"/>
      <c r="G167" s="7"/>
      <c r="H167" s="7"/>
      <c r="I167" s="1"/>
      <c r="J167" s="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1"/>
      <c r="B168" s="1"/>
      <c r="C168" s="2"/>
      <c r="D168" s="1"/>
      <c r="E168" s="1"/>
      <c r="F168" s="1"/>
      <c r="G168" s="7"/>
      <c r="H168" s="7"/>
      <c r="I168" s="1"/>
      <c r="J168" s="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1"/>
      <c r="B169" s="1"/>
      <c r="C169" s="2"/>
      <c r="D169" s="1"/>
      <c r="E169" s="1"/>
      <c r="F169" s="1"/>
      <c r="G169" s="7"/>
      <c r="H169" s="7"/>
      <c r="I169" s="1"/>
      <c r="J169" s="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1"/>
      <c r="B170" s="1"/>
      <c r="C170" s="2"/>
      <c r="D170" s="1"/>
      <c r="E170" s="1"/>
      <c r="F170" s="1"/>
      <c r="G170" s="7"/>
      <c r="H170" s="7"/>
      <c r="I170" s="1"/>
      <c r="J170" s="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1"/>
      <c r="B171" s="1"/>
      <c r="C171" s="2"/>
      <c r="D171" s="1"/>
      <c r="E171" s="1"/>
      <c r="F171" s="1"/>
      <c r="G171" s="7"/>
      <c r="H171" s="7"/>
      <c r="I171" s="1"/>
      <c r="J171" s="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1"/>
      <c r="B172" s="1"/>
      <c r="C172" s="2"/>
      <c r="D172" s="1"/>
      <c r="E172" s="1"/>
      <c r="F172" s="1"/>
      <c r="G172" s="7"/>
      <c r="H172" s="7"/>
      <c r="I172" s="1"/>
      <c r="J172" s="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1"/>
      <c r="B173" s="1"/>
      <c r="C173" s="2"/>
      <c r="D173" s="1"/>
      <c r="E173" s="1"/>
      <c r="F173" s="1"/>
      <c r="G173" s="7"/>
      <c r="H173" s="7"/>
      <c r="I173" s="1"/>
      <c r="J173" s="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1"/>
      <c r="B174" s="1"/>
      <c r="C174" s="2"/>
      <c r="D174" s="1"/>
      <c r="E174" s="1"/>
      <c r="F174" s="1"/>
      <c r="G174" s="7"/>
      <c r="H174" s="7"/>
      <c r="I174" s="1"/>
      <c r="J174" s="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1"/>
      <c r="B175" s="1"/>
      <c r="C175" s="2"/>
      <c r="D175" s="1"/>
      <c r="E175" s="1"/>
      <c r="F175" s="1"/>
      <c r="G175" s="7"/>
      <c r="H175" s="7"/>
      <c r="I175" s="1"/>
      <c r="J175" s="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1"/>
      <c r="B176" s="1"/>
      <c r="C176" s="2"/>
      <c r="D176" s="1"/>
      <c r="E176" s="1"/>
      <c r="F176" s="1"/>
      <c r="G176" s="7"/>
      <c r="H176" s="7"/>
      <c r="I176" s="1"/>
      <c r="J176" s="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1"/>
      <c r="B177" s="1"/>
      <c r="C177" s="2"/>
      <c r="D177" s="1"/>
      <c r="E177" s="1"/>
      <c r="F177" s="1"/>
      <c r="G177" s="7"/>
      <c r="H177" s="7"/>
      <c r="I177" s="1"/>
      <c r="J177" s="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1"/>
      <c r="B178" s="1"/>
      <c r="C178" s="2"/>
      <c r="D178" s="1"/>
      <c r="E178" s="1"/>
      <c r="F178" s="1"/>
      <c r="G178" s="7"/>
      <c r="H178" s="7"/>
      <c r="I178" s="1"/>
      <c r="J178" s="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1"/>
      <c r="B179" s="1"/>
      <c r="C179" s="2"/>
      <c r="D179" s="1"/>
      <c r="E179" s="1"/>
      <c r="F179" s="1"/>
      <c r="G179" s="7"/>
      <c r="H179" s="7"/>
      <c r="I179" s="1"/>
      <c r="J179" s="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1"/>
      <c r="B180" s="1"/>
      <c r="C180" s="2"/>
      <c r="D180" s="1"/>
      <c r="E180" s="1"/>
      <c r="F180" s="1"/>
      <c r="G180" s="7"/>
      <c r="H180" s="7"/>
      <c r="I180" s="1"/>
      <c r="J180" s="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1"/>
      <c r="B181" s="1"/>
      <c r="C181" s="2"/>
      <c r="D181" s="1"/>
      <c r="E181" s="1"/>
      <c r="F181" s="1"/>
      <c r="G181" s="7"/>
      <c r="H181" s="7"/>
      <c r="I181" s="1"/>
      <c r="J181" s="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1"/>
      <c r="B182" s="1"/>
      <c r="C182" s="2"/>
      <c r="D182" s="1"/>
      <c r="E182" s="1"/>
      <c r="F182" s="1"/>
      <c r="G182" s="7"/>
      <c r="H182" s="7"/>
      <c r="I182" s="1"/>
      <c r="J182" s="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1"/>
      <c r="B183" s="1"/>
      <c r="C183" s="2"/>
      <c r="D183" s="1"/>
      <c r="E183" s="1"/>
      <c r="F183" s="1"/>
      <c r="G183" s="7"/>
      <c r="H183" s="7"/>
      <c r="I183" s="1"/>
      <c r="J183" s="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1"/>
      <c r="B184" s="1"/>
      <c r="C184" s="2"/>
      <c r="D184" s="1"/>
      <c r="E184" s="1"/>
      <c r="F184" s="1"/>
      <c r="G184" s="7"/>
      <c r="H184" s="7"/>
      <c r="I184" s="1"/>
      <c r="J184" s="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1"/>
      <c r="B185" s="1"/>
      <c r="C185" s="2"/>
      <c r="D185" s="1"/>
      <c r="E185" s="1"/>
      <c r="F185" s="1"/>
      <c r="G185" s="7"/>
      <c r="H185" s="7"/>
      <c r="I185" s="1"/>
      <c r="J185" s="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1"/>
      <c r="B186" s="1"/>
      <c r="C186" s="2"/>
      <c r="D186" s="1"/>
      <c r="E186" s="1"/>
      <c r="F186" s="1"/>
      <c r="G186" s="7"/>
      <c r="H186" s="7"/>
      <c r="I186" s="1"/>
      <c r="J186" s="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1"/>
      <c r="B187" s="1"/>
      <c r="C187" s="2"/>
      <c r="D187" s="1"/>
      <c r="E187" s="1"/>
      <c r="F187" s="1"/>
      <c r="G187" s="7"/>
      <c r="H187" s="7"/>
      <c r="I187" s="1"/>
      <c r="J187" s="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1"/>
      <c r="B188" s="1"/>
      <c r="C188" s="2"/>
      <c r="D188" s="1"/>
      <c r="E188" s="1"/>
      <c r="F188" s="1"/>
      <c r="G188" s="7"/>
      <c r="H188" s="7"/>
      <c r="I188" s="1"/>
      <c r="J188" s="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1"/>
      <c r="B189" s="1"/>
      <c r="C189" s="2"/>
      <c r="D189" s="1"/>
      <c r="E189" s="1"/>
      <c r="F189" s="1"/>
      <c r="G189" s="7"/>
      <c r="H189" s="7"/>
      <c r="I189" s="1"/>
      <c r="J189" s="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1"/>
      <c r="B190" s="1"/>
      <c r="C190" s="2"/>
      <c r="D190" s="1"/>
      <c r="E190" s="1"/>
      <c r="F190" s="1"/>
      <c r="G190" s="7"/>
      <c r="H190" s="7"/>
      <c r="I190" s="1"/>
      <c r="J190" s="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1"/>
      <c r="B191" s="1"/>
      <c r="C191" s="2"/>
      <c r="D191" s="1"/>
      <c r="E191" s="1"/>
      <c r="F191" s="1"/>
      <c r="G191" s="7"/>
      <c r="H191" s="7"/>
      <c r="I191" s="1"/>
      <c r="J191" s="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1"/>
      <c r="B192" s="1"/>
      <c r="C192" s="2"/>
      <c r="D192" s="1"/>
      <c r="E192" s="1"/>
      <c r="F192" s="1"/>
      <c r="G192" s="7"/>
      <c r="H192" s="7"/>
      <c r="I192" s="1"/>
      <c r="J192" s="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1"/>
      <c r="B193" s="1"/>
      <c r="C193" s="2"/>
      <c r="D193" s="1"/>
      <c r="E193" s="1"/>
      <c r="F193" s="1"/>
      <c r="G193" s="7"/>
      <c r="H193" s="7"/>
      <c r="I193" s="1"/>
      <c r="J193" s="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1"/>
      <c r="B194" s="1"/>
      <c r="C194" s="2"/>
      <c r="D194" s="1"/>
      <c r="E194" s="1"/>
      <c r="F194" s="1"/>
      <c r="G194" s="7"/>
      <c r="H194" s="7"/>
      <c r="I194" s="1"/>
      <c r="J194" s="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1"/>
      <c r="B195" s="1"/>
      <c r="C195" s="2"/>
      <c r="D195" s="1"/>
      <c r="E195" s="1"/>
      <c r="F195" s="1"/>
      <c r="G195" s="7"/>
      <c r="H195" s="7"/>
      <c r="I195" s="1"/>
      <c r="J195" s="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1"/>
      <c r="B196" s="1"/>
      <c r="C196" s="2"/>
      <c r="D196" s="1"/>
      <c r="E196" s="1"/>
      <c r="F196" s="1"/>
      <c r="G196" s="7"/>
      <c r="H196" s="7"/>
      <c r="I196" s="1"/>
      <c r="J196" s="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1"/>
      <c r="B197" s="1"/>
      <c r="C197" s="2"/>
      <c r="D197" s="1"/>
      <c r="E197" s="1"/>
      <c r="F197" s="1"/>
      <c r="G197" s="7"/>
      <c r="H197" s="7"/>
      <c r="I197" s="1"/>
      <c r="J197" s="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1"/>
      <c r="B198" s="1"/>
      <c r="C198" s="2"/>
      <c r="D198" s="1"/>
      <c r="E198" s="1"/>
      <c r="F198" s="1"/>
      <c r="G198" s="7"/>
      <c r="H198" s="7"/>
      <c r="I198" s="1"/>
      <c r="J198" s="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1"/>
      <c r="B199" s="1"/>
      <c r="C199" s="2"/>
      <c r="D199" s="1"/>
      <c r="E199" s="1"/>
      <c r="F199" s="1"/>
      <c r="G199" s="7"/>
      <c r="H199" s="7"/>
      <c r="I199" s="1"/>
      <c r="J199" s="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1"/>
      <c r="B200" s="1"/>
      <c r="C200" s="2"/>
      <c r="D200" s="1"/>
      <c r="E200" s="1"/>
      <c r="F200" s="1"/>
      <c r="G200" s="7"/>
      <c r="H200" s="7"/>
      <c r="I200" s="1"/>
      <c r="J200" s="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1"/>
      <c r="B201" s="1"/>
      <c r="C201" s="2"/>
      <c r="D201" s="1"/>
      <c r="E201" s="1"/>
      <c r="F201" s="1"/>
      <c r="G201" s="7"/>
      <c r="H201" s="7"/>
      <c r="I201" s="1"/>
      <c r="J201" s="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1"/>
      <c r="B202" s="1"/>
      <c r="C202" s="2"/>
      <c r="D202" s="1"/>
      <c r="E202" s="1"/>
      <c r="F202" s="1"/>
      <c r="G202" s="7"/>
      <c r="H202" s="7"/>
      <c r="I202" s="1"/>
      <c r="J202" s="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1"/>
      <c r="B203" s="1"/>
      <c r="C203" s="2"/>
      <c r="D203" s="1"/>
      <c r="E203" s="1"/>
      <c r="F203" s="1"/>
      <c r="G203" s="7"/>
      <c r="H203" s="7"/>
      <c r="I203" s="1"/>
      <c r="J203" s="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1"/>
      <c r="B204" s="1"/>
      <c r="C204" s="2"/>
      <c r="D204" s="1"/>
      <c r="E204" s="1"/>
      <c r="F204" s="1"/>
      <c r="G204" s="7"/>
      <c r="H204" s="7"/>
      <c r="I204" s="1"/>
      <c r="J204" s="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1"/>
      <c r="B205" s="1"/>
      <c r="C205" s="2"/>
      <c r="D205" s="1"/>
      <c r="E205" s="1"/>
      <c r="F205" s="1"/>
      <c r="G205" s="7"/>
      <c r="H205" s="7"/>
      <c r="I205" s="1"/>
      <c r="J205" s="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1"/>
      <c r="B206" s="1"/>
      <c r="C206" s="2"/>
      <c r="D206" s="1"/>
      <c r="E206" s="1"/>
      <c r="F206" s="1"/>
      <c r="G206" s="7"/>
      <c r="H206" s="7"/>
      <c r="I206" s="1"/>
      <c r="J206" s="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1"/>
      <c r="B207" s="1"/>
      <c r="C207" s="2"/>
      <c r="D207" s="1"/>
      <c r="E207" s="1"/>
      <c r="F207" s="1"/>
      <c r="G207" s="7"/>
      <c r="H207" s="7"/>
      <c r="I207" s="1"/>
      <c r="J207" s="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1"/>
      <c r="B208" s="1"/>
      <c r="C208" s="2"/>
      <c r="D208" s="1"/>
      <c r="E208" s="1"/>
      <c r="F208" s="1"/>
      <c r="G208" s="7"/>
      <c r="H208" s="7"/>
      <c r="I208" s="1"/>
      <c r="J208" s="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1"/>
      <c r="B209" s="1"/>
      <c r="C209" s="2"/>
      <c r="D209" s="1"/>
      <c r="E209" s="1"/>
      <c r="F209" s="1"/>
      <c r="G209" s="7"/>
      <c r="H209" s="7"/>
      <c r="I209" s="1"/>
      <c r="J209" s="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1"/>
      <c r="B210" s="1"/>
      <c r="C210" s="2"/>
      <c r="D210" s="1"/>
      <c r="E210" s="1"/>
      <c r="F210" s="1"/>
      <c r="G210" s="7"/>
      <c r="H210" s="7"/>
      <c r="I210" s="1"/>
      <c r="J210" s="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1"/>
      <c r="B211" s="1"/>
      <c r="C211" s="2"/>
      <c r="D211" s="1"/>
      <c r="E211" s="1"/>
      <c r="F211" s="1"/>
      <c r="G211" s="7"/>
      <c r="H211" s="7"/>
      <c r="I211" s="1"/>
      <c r="J211" s="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1"/>
      <c r="B212" s="1"/>
      <c r="C212" s="2"/>
      <c r="D212" s="1"/>
      <c r="E212" s="1"/>
      <c r="F212" s="1"/>
      <c r="G212" s="7"/>
      <c r="H212" s="7"/>
      <c r="I212" s="1"/>
      <c r="J212" s="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1"/>
      <c r="B213" s="1"/>
      <c r="C213" s="2"/>
      <c r="D213" s="1"/>
      <c r="E213" s="1"/>
      <c r="F213" s="1"/>
      <c r="G213" s="7"/>
      <c r="H213" s="7"/>
      <c r="I213" s="1"/>
      <c r="J213" s="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1"/>
      <c r="B214" s="1"/>
      <c r="C214" s="2"/>
      <c r="D214" s="1"/>
      <c r="E214" s="1"/>
      <c r="F214" s="1"/>
      <c r="G214" s="7"/>
      <c r="H214" s="7"/>
      <c r="I214" s="1"/>
      <c r="J214" s="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1"/>
      <c r="B215" s="1"/>
      <c r="C215" s="2"/>
      <c r="D215" s="1"/>
      <c r="E215" s="1"/>
      <c r="F215" s="1"/>
      <c r="G215" s="7"/>
      <c r="H215" s="7"/>
      <c r="I215" s="1"/>
      <c r="J215" s="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1"/>
      <c r="B216" s="1"/>
      <c r="C216" s="2"/>
      <c r="D216" s="1"/>
      <c r="E216" s="1"/>
      <c r="F216" s="1"/>
      <c r="G216" s="7"/>
      <c r="H216" s="7"/>
      <c r="I216" s="1"/>
      <c r="J216" s="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1"/>
      <c r="B217" s="1"/>
      <c r="C217" s="2"/>
      <c r="D217" s="1"/>
      <c r="E217" s="1"/>
      <c r="F217" s="1"/>
      <c r="G217" s="7"/>
      <c r="H217" s="7"/>
      <c r="I217" s="1"/>
      <c r="J217" s="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1"/>
      <c r="B218" s="1"/>
      <c r="C218" s="2"/>
      <c r="D218" s="1"/>
      <c r="E218" s="1"/>
      <c r="F218" s="1"/>
      <c r="G218" s="7"/>
      <c r="H218" s="7"/>
      <c r="I218" s="1"/>
      <c r="J218" s="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1"/>
      <c r="B219" s="1"/>
      <c r="C219" s="2"/>
      <c r="D219" s="1"/>
      <c r="E219" s="1"/>
      <c r="F219" s="1"/>
      <c r="G219" s="7"/>
      <c r="H219" s="7"/>
      <c r="I219" s="1"/>
      <c r="J219" s="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1"/>
      <c r="B220" s="1"/>
      <c r="C220" s="2"/>
      <c r="D220" s="1"/>
      <c r="E220" s="1"/>
      <c r="F220" s="1"/>
      <c r="G220" s="7"/>
      <c r="H220" s="7"/>
      <c r="I220" s="1"/>
      <c r="J220" s="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1"/>
      <c r="B221" s="1"/>
      <c r="C221" s="2"/>
      <c r="D221" s="1"/>
      <c r="E221" s="1"/>
      <c r="F221" s="1"/>
      <c r="G221" s="7"/>
      <c r="H221" s="7"/>
      <c r="I221" s="1"/>
      <c r="J221" s="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1"/>
      <c r="B222" s="1"/>
      <c r="C222" s="2"/>
      <c r="D222" s="1"/>
      <c r="E222" s="1"/>
      <c r="F222" s="1"/>
      <c r="G222" s="7"/>
      <c r="H222" s="7"/>
      <c r="I222" s="1"/>
      <c r="J222" s="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1"/>
      <c r="B223" s="1"/>
      <c r="C223" s="2"/>
      <c r="D223" s="1"/>
      <c r="E223" s="1"/>
      <c r="F223" s="1"/>
      <c r="G223" s="7"/>
      <c r="H223" s="7"/>
      <c r="I223" s="1"/>
      <c r="J223" s="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1"/>
      <c r="B224" s="1"/>
      <c r="C224" s="2"/>
      <c r="D224" s="1"/>
      <c r="E224" s="1"/>
      <c r="F224" s="1"/>
      <c r="G224" s="7"/>
      <c r="H224" s="7"/>
      <c r="I224" s="1"/>
      <c r="J224" s="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1"/>
      <c r="B225" s="1"/>
      <c r="C225" s="2"/>
      <c r="D225" s="1"/>
      <c r="E225" s="1"/>
      <c r="F225" s="1"/>
      <c r="G225" s="7"/>
      <c r="H225" s="7"/>
      <c r="I225" s="1"/>
      <c r="J225" s="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1"/>
      <c r="B226" s="1"/>
      <c r="C226" s="2"/>
      <c r="D226" s="1"/>
      <c r="E226" s="1"/>
      <c r="F226" s="1"/>
      <c r="G226" s="7"/>
      <c r="H226" s="7"/>
      <c r="I226" s="1"/>
      <c r="J226" s="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1"/>
      <c r="B227" s="1"/>
      <c r="C227" s="2"/>
      <c r="D227" s="1"/>
      <c r="E227" s="1"/>
      <c r="F227" s="1"/>
      <c r="G227" s="7"/>
      <c r="H227" s="7"/>
      <c r="I227" s="1"/>
      <c r="J227" s="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1"/>
      <c r="B228" s="1"/>
      <c r="C228" s="2"/>
      <c r="D228" s="1"/>
      <c r="E228" s="1"/>
      <c r="F228" s="1"/>
      <c r="G228" s="7"/>
      <c r="H228" s="7"/>
      <c r="I228" s="1"/>
      <c r="J228" s="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1"/>
      <c r="B229" s="1"/>
      <c r="C229" s="2"/>
      <c r="D229" s="1"/>
      <c r="E229" s="1"/>
      <c r="F229" s="1"/>
      <c r="G229" s="7"/>
      <c r="H229" s="7"/>
      <c r="I229" s="1"/>
      <c r="J229" s="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1"/>
      <c r="B230" s="1"/>
      <c r="C230" s="2"/>
      <c r="D230" s="1"/>
      <c r="E230" s="1"/>
      <c r="F230" s="1"/>
      <c r="G230" s="7"/>
      <c r="H230" s="7"/>
      <c r="I230" s="1"/>
      <c r="J230" s="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1"/>
      <c r="B231" s="1"/>
      <c r="C231" s="2"/>
      <c r="D231" s="1"/>
      <c r="E231" s="1"/>
      <c r="F231" s="1"/>
      <c r="G231" s="7"/>
      <c r="H231" s="7"/>
      <c r="I231" s="1"/>
      <c r="J231" s="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1"/>
      <c r="B232" s="1"/>
      <c r="C232" s="2"/>
      <c r="D232" s="1"/>
      <c r="E232" s="1"/>
      <c r="F232" s="1"/>
      <c r="G232" s="7"/>
      <c r="H232" s="7"/>
      <c r="I232" s="1"/>
      <c r="J232" s="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1"/>
      <c r="B233" s="1"/>
      <c r="C233" s="2"/>
      <c r="D233" s="1"/>
      <c r="E233" s="1"/>
      <c r="F233" s="1"/>
      <c r="G233" s="7"/>
      <c r="H233" s="7"/>
      <c r="I233" s="1"/>
      <c r="J233" s="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1"/>
      <c r="B234" s="1"/>
      <c r="C234" s="2"/>
      <c r="D234" s="1"/>
      <c r="E234" s="1"/>
      <c r="F234" s="1"/>
      <c r="G234" s="7"/>
      <c r="H234" s="7"/>
      <c r="I234" s="1"/>
      <c r="J234" s="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1"/>
      <c r="B235" s="1"/>
      <c r="C235" s="2"/>
      <c r="D235" s="1"/>
      <c r="E235" s="1"/>
      <c r="F235" s="1"/>
      <c r="G235" s="7"/>
      <c r="H235" s="7"/>
      <c r="I235" s="1"/>
      <c r="J235" s="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1"/>
      <c r="B236" s="1"/>
      <c r="C236" s="2"/>
      <c r="D236" s="1"/>
      <c r="E236" s="1"/>
      <c r="F236" s="1"/>
      <c r="G236" s="7"/>
      <c r="H236" s="7"/>
      <c r="I236" s="1"/>
      <c r="J236" s="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1"/>
      <c r="B237" s="1"/>
      <c r="C237" s="2"/>
      <c r="D237" s="1"/>
      <c r="E237" s="1"/>
      <c r="F237" s="1"/>
      <c r="G237" s="7"/>
      <c r="H237" s="7"/>
      <c r="I237" s="1"/>
      <c r="J237" s="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1"/>
      <c r="B238" s="1"/>
      <c r="C238" s="2"/>
      <c r="D238" s="1"/>
      <c r="E238" s="1"/>
      <c r="F238" s="1"/>
      <c r="G238" s="7"/>
      <c r="H238" s="7"/>
      <c r="I238" s="1"/>
      <c r="J238" s="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1"/>
      <c r="B239" s="1"/>
      <c r="C239" s="2"/>
      <c r="D239" s="1"/>
      <c r="E239" s="1"/>
      <c r="F239" s="1"/>
      <c r="G239" s="7"/>
      <c r="H239" s="7"/>
      <c r="I239" s="1"/>
      <c r="J239" s="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mergeCells count="49">
    <mergeCell ref="A39:G39"/>
    <mergeCell ref="B31:C31"/>
    <mergeCell ref="A34:G34"/>
    <mergeCell ref="H34:J34"/>
    <mergeCell ref="A35:F35"/>
    <mergeCell ref="H35:J35"/>
    <mergeCell ref="A38:G38"/>
    <mergeCell ref="H38:J38"/>
    <mergeCell ref="F10:F11"/>
    <mergeCell ref="G10:G11"/>
    <mergeCell ref="A4:I4"/>
    <mergeCell ref="A7:J7"/>
    <mergeCell ref="A8:J8"/>
    <mergeCell ref="A9:B9"/>
    <mergeCell ref="A10:A11"/>
    <mergeCell ref="B10:B11"/>
    <mergeCell ref="J10:J11"/>
    <mergeCell ref="C10:C11"/>
    <mergeCell ref="H10:H11"/>
    <mergeCell ref="I10:I11"/>
    <mergeCell ref="A12:E12"/>
    <mergeCell ref="B13:C13"/>
    <mergeCell ref="A15:E15"/>
    <mergeCell ref="B14:C14"/>
    <mergeCell ref="D10:D11"/>
    <mergeCell ref="E10:E11"/>
    <mergeCell ref="B16:C16"/>
    <mergeCell ref="I27:J27"/>
    <mergeCell ref="I29:J29"/>
    <mergeCell ref="A17:E17"/>
    <mergeCell ref="A22:E22"/>
    <mergeCell ref="B23:C23"/>
    <mergeCell ref="B25:C25"/>
    <mergeCell ref="A26:E26"/>
    <mergeCell ref="B18:C18"/>
    <mergeCell ref="B20:C20"/>
    <mergeCell ref="B21:C21"/>
    <mergeCell ref="B30:C30"/>
    <mergeCell ref="A37:F37"/>
    <mergeCell ref="B28:C28"/>
    <mergeCell ref="B24:C24"/>
    <mergeCell ref="G22:H22"/>
    <mergeCell ref="B32:C32"/>
    <mergeCell ref="I30:J30"/>
    <mergeCell ref="I31:J31"/>
    <mergeCell ref="G12:H12"/>
    <mergeCell ref="G15:H15"/>
    <mergeCell ref="G17:H17"/>
    <mergeCell ref="I23:J25"/>
  </mergeCells>
  <pageMargins left="0.24" right="0.17" top="0.17" bottom="0.17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3"/>
  <sheetViews>
    <sheetView showGridLines="0" topLeftCell="A12" workbookViewId="0">
      <selection activeCell="I31" sqref="I31"/>
    </sheetView>
  </sheetViews>
  <sheetFormatPr defaultColWidth="12.6640625" defaultRowHeight="15" customHeight="1" x14ac:dyDescent="0.25"/>
  <cols>
    <col min="1" max="1" width="4.109375" customWidth="1"/>
    <col min="2" max="2" width="13.109375" customWidth="1"/>
    <col min="3" max="3" width="37.109375" customWidth="1"/>
    <col min="4" max="4" width="18.33203125" customWidth="1"/>
    <col min="5" max="5" width="26.109375" customWidth="1"/>
    <col min="6" max="6" width="23.109375" customWidth="1"/>
    <col min="7" max="7" width="11" customWidth="1"/>
    <col min="8" max="8" width="12.109375" customWidth="1"/>
    <col min="9" max="9" width="22.44140625" customWidth="1"/>
    <col min="10" max="10" width="10.77734375" customWidth="1"/>
  </cols>
  <sheetData>
    <row r="1" spans="1:26" ht="13.8" x14ac:dyDescent="0.25">
      <c r="A1" s="1"/>
      <c r="B1" s="1"/>
      <c r="C1" s="2"/>
      <c r="D1" s="1"/>
      <c r="E1" s="1"/>
      <c r="F1" s="1"/>
      <c r="G1" s="7"/>
      <c r="H1" s="7"/>
      <c r="I1" s="1"/>
      <c r="J1" s="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8" x14ac:dyDescent="0.25">
      <c r="A2" s="1"/>
      <c r="B2" s="1"/>
      <c r="C2" s="2"/>
      <c r="D2" s="1"/>
      <c r="E2" s="1"/>
      <c r="F2" s="1"/>
      <c r="G2" s="7"/>
      <c r="H2" s="7"/>
      <c r="I2" s="1"/>
      <c r="J2" s="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8" x14ac:dyDescent="0.25">
      <c r="A3" s="1"/>
      <c r="B3" s="1"/>
      <c r="C3" s="2"/>
      <c r="D3" s="1"/>
      <c r="E3" s="1"/>
      <c r="F3" s="1"/>
      <c r="G3" s="7"/>
      <c r="H3" s="7"/>
      <c r="I3" s="1"/>
      <c r="J3" s="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1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1" customHeight="1" x14ac:dyDescent="0.25">
      <c r="A5" s="3"/>
      <c r="B5" s="1"/>
      <c r="C5" s="2"/>
      <c r="D5" s="1"/>
      <c r="E5" s="1"/>
      <c r="F5" s="1"/>
      <c r="G5" s="1"/>
      <c r="H5" s="1"/>
      <c r="I5" s="1"/>
      <c r="J5" s="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 x14ac:dyDescent="0.25">
      <c r="A6" s="3"/>
      <c r="B6" s="1"/>
      <c r="C6" s="2"/>
      <c r="D6" s="1"/>
      <c r="E6" s="1"/>
      <c r="F6" s="1"/>
      <c r="G6" s="1"/>
      <c r="H6" s="1"/>
      <c r="I6" s="1"/>
      <c r="J6" s="1"/>
      <c r="K6" s="9"/>
      <c r="L6" s="9"/>
      <c r="M6" s="9"/>
      <c r="N6" s="9"/>
      <c r="O6" s="9"/>
      <c r="P6" s="9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2" customHeight="1" x14ac:dyDescent="0.3">
      <c r="A7" s="150" t="s">
        <v>124</v>
      </c>
      <c r="B7" s="149"/>
      <c r="C7" s="149"/>
      <c r="D7" s="149"/>
      <c r="E7" s="149"/>
      <c r="F7" s="149"/>
      <c r="G7" s="52"/>
      <c r="H7" s="52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1" customHeight="1" x14ac:dyDescent="0.25">
      <c r="A8" s="208"/>
      <c r="B8" s="149"/>
      <c r="C8" s="149"/>
      <c r="D8" s="149"/>
      <c r="E8" s="149"/>
      <c r="F8" s="149"/>
      <c r="G8" s="52"/>
      <c r="H8" s="52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1" customHeight="1" x14ac:dyDescent="0.25">
      <c r="A9" s="55" t="s">
        <v>56</v>
      </c>
      <c r="B9" s="56" t="s">
        <v>57</v>
      </c>
      <c r="C9" s="56" t="s">
        <v>58</v>
      </c>
      <c r="D9" s="56" t="s">
        <v>59</v>
      </c>
      <c r="E9" s="57" t="s">
        <v>60</v>
      </c>
      <c r="F9" s="57" t="s">
        <v>61</v>
      </c>
      <c r="G9" s="52"/>
      <c r="H9" s="52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1" customHeight="1" thickBot="1" x14ac:dyDescent="0.3">
      <c r="A10" s="140" t="s">
        <v>139</v>
      </c>
      <c r="B10" s="137"/>
      <c r="C10" s="137"/>
      <c r="D10" s="137"/>
      <c r="E10" s="137"/>
      <c r="F10" s="135"/>
      <c r="G10" s="52"/>
      <c r="H10" s="5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30.75" customHeight="1" x14ac:dyDescent="0.25">
      <c r="A11" s="58">
        <v>1</v>
      </c>
      <c r="B11" s="61">
        <v>0.25</v>
      </c>
      <c r="C11" s="143" t="s">
        <v>131</v>
      </c>
      <c r="D11" s="144"/>
      <c r="E11" s="145"/>
      <c r="F11" s="62"/>
      <c r="G11" s="52"/>
      <c r="H11" s="52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36.6" customHeight="1" thickBot="1" x14ac:dyDescent="0.3">
      <c r="A12" s="58">
        <v>2</v>
      </c>
      <c r="B12" s="63">
        <v>0.375</v>
      </c>
      <c r="C12" s="136" t="s">
        <v>132</v>
      </c>
      <c r="D12" s="137"/>
      <c r="E12" s="135"/>
      <c r="F12" s="64"/>
      <c r="G12" s="52"/>
      <c r="H12" s="52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34.200000000000003" customHeight="1" thickBot="1" x14ac:dyDescent="0.3">
      <c r="A13" s="58">
        <v>3</v>
      </c>
      <c r="B13" s="65" t="s">
        <v>78</v>
      </c>
      <c r="C13" s="202" t="s">
        <v>133</v>
      </c>
      <c r="D13" s="203"/>
      <c r="E13" s="204"/>
      <c r="F13" s="64"/>
      <c r="G13" s="52"/>
      <c r="H13" s="52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4.4" thickBot="1" x14ac:dyDescent="0.3">
      <c r="A14" s="58">
        <v>4</v>
      </c>
      <c r="B14" s="67" t="s">
        <v>103</v>
      </c>
      <c r="C14" s="205" t="s">
        <v>134</v>
      </c>
      <c r="D14" s="206"/>
      <c r="E14" s="207"/>
      <c r="F14" s="69"/>
      <c r="G14" s="52"/>
      <c r="H14" s="52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36.6" customHeight="1" thickBot="1" x14ac:dyDescent="0.3">
      <c r="A15" s="58">
        <v>5</v>
      </c>
      <c r="B15" s="70" t="s">
        <v>135</v>
      </c>
      <c r="C15" s="138" t="s">
        <v>136</v>
      </c>
      <c r="D15" s="137"/>
      <c r="E15" s="135"/>
      <c r="F15" s="69"/>
      <c r="G15" s="52"/>
      <c r="H15" s="5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1" customHeight="1" thickBot="1" x14ac:dyDescent="0.3">
      <c r="A16" s="58">
        <v>6</v>
      </c>
      <c r="B16" s="65" t="s">
        <v>104</v>
      </c>
      <c r="C16" s="146" t="s">
        <v>137</v>
      </c>
      <c r="D16" s="147"/>
      <c r="E16" s="147"/>
      <c r="F16" s="66"/>
      <c r="G16" s="52"/>
      <c r="H16" s="52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1" customHeight="1" x14ac:dyDescent="0.25">
      <c r="A17" s="58">
        <v>10</v>
      </c>
      <c r="B17" s="65" t="s">
        <v>66</v>
      </c>
      <c r="C17" s="136" t="s">
        <v>138</v>
      </c>
      <c r="D17" s="137"/>
      <c r="E17" s="137"/>
      <c r="F17" s="139"/>
      <c r="G17" s="52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1" customHeight="1" x14ac:dyDescent="0.25">
      <c r="A18" s="140" t="s">
        <v>140</v>
      </c>
      <c r="B18" s="137"/>
      <c r="C18" s="137"/>
      <c r="D18" s="137"/>
      <c r="E18" s="137"/>
      <c r="F18" s="135"/>
      <c r="G18" s="52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1" customHeight="1" x14ac:dyDescent="0.25">
      <c r="A19" s="74">
        <v>1</v>
      </c>
      <c r="B19" s="65" t="s">
        <v>69</v>
      </c>
      <c r="C19" s="71" t="s">
        <v>70</v>
      </c>
      <c r="D19" s="71"/>
      <c r="E19" s="134"/>
      <c r="F19" s="139"/>
      <c r="G19" s="52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88.8" customHeight="1" x14ac:dyDescent="0.25">
      <c r="A20" s="74">
        <v>2</v>
      </c>
      <c r="B20" s="63" t="s">
        <v>113</v>
      </c>
      <c r="C20" s="202" t="s">
        <v>141</v>
      </c>
      <c r="D20" s="203"/>
      <c r="E20" s="204"/>
      <c r="F20" s="64"/>
      <c r="G20" s="52"/>
      <c r="H20" s="52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49.8" customHeight="1" x14ac:dyDescent="0.25">
      <c r="A21" s="74">
        <v>3</v>
      </c>
      <c r="B21" s="63" t="s">
        <v>105</v>
      </c>
      <c r="C21" s="202" t="s">
        <v>142</v>
      </c>
      <c r="D21" s="203"/>
      <c r="E21" s="204"/>
      <c r="F21" s="64"/>
      <c r="G21" s="52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34.200000000000003" customHeight="1" x14ac:dyDescent="0.25">
      <c r="A22" s="74">
        <v>4</v>
      </c>
      <c r="B22" s="65" t="s">
        <v>106</v>
      </c>
      <c r="C22" s="136" t="s">
        <v>143</v>
      </c>
      <c r="D22" s="137"/>
      <c r="E22" s="135"/>
      <c r="F22" s="66"/>
      <c r="G22" s="52"/>
      <c r="H22" s="5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1" customHeight="1" x14ac:dyDescent="0.25">
      <c r="A23" s="74">
        <v>5</v>
      </c>
      <c r="B23" s="63">
        <v>0.58333333333333337</v>
      </c>
      <c r="C23" s="202" t="s">
        <v>107</v>
      </c>
      <c r="D23" s="203"/>
      <c r="E23" s="204"/>
      <c r="F23" s="75"/>
      <c r="G23" s="52"/>
      <c r="H23" s="5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21" customHeight="1" x14ac:dyDescent="0.25">
      <c r="A24" s="54"/>
      <c r="B24" s="53"/>
      <c r="C24" s="53"/>
      <c r="D24" s="53"/>
      <c r="E24" s="76"/>
      <c r="F24" s="76"/>
      <c r="G24" s="52"/>
      <c r="H24" s="5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1" customHeight="1" x14ac:dyDescent="0.25">
      <c r="A25" s="54"/>
      <c r="B25" s="53"/>
      <c r="C25" s="53"/>
      <c r="D25" s="53"/>
      <c r="E25" s="76"/>
      <c r="F25" s="76"/>
      <c r="G25" s="52"/>
      <c r="H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21" customHeight="1" x14ac:dyDescent="0.25">
      <c r="A26" s="54"/>
      <c r="B26" s="53"/>
      <c r="C26" s="53"/>
      <c r="D26" s="53"/>
      <c r="E26" s="76"/>
      <c r="F26" s="76"/>
      <c r="G26" s="52"/>
      <c r="H26" s="5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1" customHeight="1" x14ac:dyDescent="0.25">
      <c r="A27" s="54"/>
      <c r="B27" s="53"/>
      <c r="C27" s="53"/>
      <c r="D27" s="53"/>
      <c r="E27" s="76"/>
      <c r="F27" s="76"/>
      <c r="G27" s="52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1" customHeight="1" x14ac:dyDescent="0.25">
      <c r="A28" s="54"/>
      <c r="B28" s="53"/>
      <c r="C28" s="53"/>
      <c r="D28" s="53"/>
      <c r="E28" s="76"/>
      <c r="F28" s="76"/>
      <c r="G28" s="52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21" customHeight="1" x14ac:dyDescent="0.25">
      <c r="A29" s="54"/>
      <c r="B29" s="53"/>
      <c r="C29" s="53"/>
      <c r="D29" s="53"/>
      <c r="E29" s="76"/>
      <c r="F29" s="76"/>
      <c r="G29" s="52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1" customHeight="1" x14ac:dyDescent="0.25">
      <c r="A30" s="54"/>
      <c r="B30" s="53"/>
      <c r="C30" s="53"/>
      <c r="D30" s="53"/>
      <c r="E30" s="76"/>
      <c r="F30" s="76"/>
      <c r="G30" s="52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1" customHeight="1" x14ac:dyDescent="0.25">
      <c r="A31" s="54"/>
      <c r="B31" s="53"/>
      <c r="C31" s="53"/>
      <c r="D31" s="53"/>
      <c r="E31" s="76"/>
      <c r="F31" s="76"/>
      <c r="G31" s="52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1" customHeight="1" x14ac:dyDescent="0.25">
      <c r="A32" s="54"/>
      <c r="B32" s="53"/>
      <c r="C32" s="53"/>
      <c r="D32" s="53"/>
      <c r="E32" s="76"/>
      <c r="F32" s="76"/>
      <c r="G32" s="52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 x14ac:dyDescent="0.25">
      <c r="A33" s="53"/>
      <c r="B33" s="53"/>
      <c r="C33" s="53"/>
      <c r="D33" s="53"/>
      <c r="E33" s="53"/>
      <c r="F33" s="53"/>
      <c r="G33" s="52"/>
      <c r="H33" s="52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 x14ac:dyDescent="0.25">
      <c r="A34" s="53"/>
      <c r="B34" s="53"/>
      <c r="C34" s="53"/>
      <c r="D34" s="53"/>
      <c r="E34" s="53"/>
      <c r="F34" s="53"/>
      <c r="G34" s="52"/>
      <c r="H34" s="52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 x14ac:dyDescent="0.25">
      <c r="A35" s="53"/>
      <c r="B35" s="53"/>
      <c r="C35" s="53"/>
      <c r="D35" s="53"/>
      <c r="E35" s="53"/>
      <c r="F35" s="53"/>
      <c r="G35" s="52"/>
      <c r="H35" s="5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 x14ac:dyDescent="0.25">
      <c r="A36" s="53"/>
      <c r="B36" s="53"/>
      <c r="C36" s="53"/>
      <c r="D36" s="53"/>
      <c r="E36" s="53"/>
      <c r="F36" s="53"/>
      <c r="G36" s="52"/>
      <c r="H36" s="52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 x14ac:dyDescent="0.25">
      <c r="A37" s="53"/>
      <c r="B37" s="53"/>
      <c r="C37" s="53"/>
      <c r="D37" s="53"/>
      <c r="E37" s="53"/>
      <c r="F37" s="53"/>
      <c r="G37" s="52"/>
      <c r="H37" s="52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 x14ac:dyDescent="0.25">
      <c r="A38" s="53"/>
      <c r="B38" s="53"/>
      <c r="C38" s="53"/>
      <c r="D38" s="53"/>
      <c r="E38" s="53"/>
      <c r="F38" s="53"/>
      <c r="G38" s="52"/>
      <c r="H38" s="52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 x14ac:dyDescent="0.25">
      <c r="A39" s="53"/>
      <c r="B39" s="53"/>
      <c r="C39" s="53"/>
      <c r="D39" s="53"/>
      <c r="E39" s="53"/>
      <c r="F39" s="53"/>
      <c r="G39" s="52"/>
      <c r="H39" s="52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 x14ac:dyDescent="0.25">
      <c r="A40" s="53"/>
      <c r="B40" s="53"/>
      <c r="C40" s="53"/>
      <c r="D40" s="53"/>
      <c r="E40" s="53"/>
      <c r="F40" s="53"/>
      <c r="G40" s="52"/>
      <c r="H40" s="52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 x14ac:dyDescent="0.25">
      <c r="A41" s="53"/>
      <c r="B41" s="53"/>
      <c r="C41" s="53"/>
      <c r="D41" s="53"/>
      <c r="E41" s="53"/>
      <c r="F41" s="53"/>
      <c r="G41" s="52"/>
      <c r="H41" s="52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 x14ac:dyDescent="0.25">
      <c r="A42" s="53"/>
      <c r="B42" s="53"/>
      <c r="C42" s="53"/>
      <c r="D42" s="53"/>
      <c r="E42" s="53"/>
      <c r="F42" s="53"/>
      <c r="G42" s="52"/>
      <c r="H42" s="52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 x14ac:dyDescent="0.25">
      <c r="A43" s="53"/>
      <c r="B43" s="53"/>
      <c r="C43" s="53"/>
      <c r="D43" s="53"/>
      <c r="E43" s="53"/>
      <c r="F43" s="53"/>
      <c r="G43" s="52"/>
      <c r="H43" s="52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 x14ac:dyDescent="0.25">
      <c r="A44" s="53"/>
      <c r="B44" s="53"/>
      <c r="C44" s="53"/>
      <c r="D44" s="53"/>
      <c r="E44" s="53"/>
      <c r="F44" s="53"/>
      <c r="G44" s="52"/>
      <c r="H44" s="52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 x14ac:dyDescent="0.25">
      <c r="A45" s="53"/>
      <c r="B45" s="53"/>
      <c r="C45" s="53"/>
      <c r="D45" s="53"/>
      <c r="E45" s="53"/>
      <c r="F45" s="53"/>
      <c r="G45" s="52"/>
      <c r="H45" s="52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 x14ac:dyDescent="0.25">
      <c r="A46" s="53"/>
      <c r="B46" s="53"/>
      <c r="C46" s="53"/>
      <c r="D46" s="53"/>
      <c r="E46" s="53"/>
      <c r="F46" s="53"/>
      <c r="G46" s="52"/>
      <c r="H46" s="52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25">
      <c r="A47" s="53"/>
      <c r="B47" s="53"/>
      <c r="C47" s="53"/>
      <c r="D47" s="53"/>
      <c r="E47" s="53"/>
      <c r="F47" s="53"/>
      <c r="G47" s="52"/>
      <c r="H47" s="52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 x14ac:dyDescent="0.25">
      <c r="A48" s="53"/>
      <c r="B48" s="53"/>
      <c r="C48" s="53"/>
      <c r="D48" s="53"/>
      <c r="E48" s="53"/>
      <c r="F48" s="53"/>
      <c r="G48" s="52"/>
      <c r="H48" s="52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 x14ac:dyDescent="0.25">
      <c r="A49" s="53"/>
      <c r="B49" s="53"/>
      <c r="C49" s="53"/>
      <c r="D49" s="53"/>
      <c r="E49" s="53"/>
      <c r="F49" s="53"/>
      <c r="G49" s="52"/>
      <c r="H49" s="52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 x14ac:dyDescent="0.25">
      <c r="A50" s="53"/>
      <c r="B50" s="53"/>
      <c r="C50" s="53"/>
      <c r="D50" s="53"/>
      <c r="E50" s="53"/>
      <c r="F50" s="53"/>
      <c r="G50" s="52"/>
      <c r="H50" s="52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 x14ac:dyDescent="0.25">
      <c r="A51" s="53"/>
      <c r="B51" s="53"/>
      <c r="C51" s="53"/>
      <c r="D51" s="53"/>
      <c r="E51" s="53"/>
      <c r="F51" s="53"/>
      <c r="G51" s="52"/>
      <c r="H51" s="52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 x14ac:dyDescent="0.25">
      <c r="A52" s="53"/>
      <c r="B52" s="53"/>
      <c r="C52" s="53"/>
      <c r="D52" s="53"/>
      <c r="E52" s="53"/>
      <c r="F52" s="53"/>
      <c r="G52" s="52"/>
      <c r="H52" s="52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 x14ac:dyDescent="0.25">
      <c r="A53" s="53"/>
      <c r="B53" s="53"/>
      <c r="C53" s="53"/>
      <c r="D53" s="53"/>
      <c r="E53" s="53"/>
      <c r="F53" s="53"/>
      <c r="G53" s="52"/>
      <c r="H53" s="52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 x14ac:dyDescent="0.25">
      <c r="A54" s="53"/>
      <c r="B54" s="53"/>
      <c r="C54" s="53"/>
      <c r="D54" s="53"/>
      <c r="E54" s="53"/>
      <c r="F54" s="53"/>
      <c r="G54" s="52"/>
      <c r="H54" s="52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 x14ac:dyDescent="0.25">
      <c r="A55" s="53"/>
      <c r="B55" s="53"/>
      <c r="C55" s="53"/>
      <c r="D55" s="53"/>
      <c r="E55" s="53"/>
      <c r="F55" s="53"/>
      <c r="G55" s="52"/>
      <c r="H55" s="52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25">
      <c r="A56" s="53"/>
      <c r="B56" s="53"/>
      <c r="C56" s="53"/>
      <c r="D56" s="53"/>
      <c r="E56" s="53"/>
      <c r="F56" s="53"/>
      <c r="G56" s="52"/>
      <c r="H56" s="52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25">
      <c r="A57" s="53"/>
      <c r="B57" s="53"/>
      <c r="C57" s="53"/>
      <c r="D57" s="53"/>
      <c r="E57" s="53"/>
      <c r="F57" s="53"/>
      <c r="G57" s="52"/>
      <c r="H57" s="52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25">
      <c r="A58" s="53"/>
      <c r="B58" s="53"/>
      <c r="C58" s="53"/>
      <c r="D58" s="53"/>
      <c r="E58" s="53"/>
      <c r="F58" s="53"/>
      <c r="G58" s="52"/>
      <c r="H58" s="52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 x14ac:dyDescent="0.25">
      <c r="A59" s="53"/>
      <c r="B59" s="53"/>
      <c r="C59" s="53"/>
      <c r="D59" s="53"/>
      <c r="E59" s="53"/>
      <c r="F59" s="53"/>
      <c r="G59" s="52"/>
      <c r="H59" s="52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25">
      <c r="A60" s="53"/>
      <c r="B60" s="53"/>
      <c r="C60" s="53"/>
      <c r="D60" s="53"/>
      <c r="E60" s="53"/>
      <c r="F60" s="53"/>
      <c r="G60" s="52"/>
      <c r="H60" s="52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 x14ac:dyDescent="0.25">
      <c r="A61" s="53"/>
      <c r="B61" s="53"/>
      <c r="C61" s="53"/>
      <c r="D61" s="53"/>
      <c r="E61" s="53"/>
      <c r="F61" s="53"/>
      <c r="G61" s="52"/>
      <c r="H61" s="52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25">
      <c r="A62" s="53"/>
      <c r="B62" s="53"/>
      <c r="C62" s="53"/>
      <c r="D62" s="53"/>
      <c r="E62" s="53"/>
      <c r="F62" s="53"/>
      <c r="G62" s="52"/>
      <c r="H62" s="52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25">
      <c r="A63" s="53"/>
      <c r="B63" s="53"/>
      <c r="C63" s="53"/>
      <c r="D63" s="53"/>
      <c r="E63" s="53"/>
      <c r="F63" s="53"/>
      <c r="G63" s="52"/>
      <c r="H63" s="52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25">
      <c r="A64" s="53"/>
      <c r="B64" s="53"/>
      <c r="C64" s="53"/>
      <c r="D64" s="53"/>
      <c r="E64" s="53"/>
      <c r="F64" s="53"/>
      <c r="G64" s="52"/>
      <c r="H64" s="52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25">
      <c r="A65" s="53"/>
      <c r="B65" s="53"/>
      <c r="C65" s="53"/>
      <c r="D65" s="53"/>
      <c r="E65" s="53"/>
      <c r="F65" s="53"/>
      <c r="G65" s="52"/>
      <c r="H65" s="52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25">
      <c r="A66" s="53"/>
      <c r="B66" s="53"/>
      <c r="C66" s="53"/>
      <c r="D66" s="53"/>
      <c r="E66" s="53"/>
      <c r="F66" s="53"/>
      <c r="G66" s="52"/>
      <c r="H66" s="52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25">
      <c r="A67" s="53"/>
      <c r="B67" s="53"/>
      <c r="C67" s="53"/>
      <c r="D67" s="53"/>
      <c r="E67" s="53"/>
      <c r="F67" s="53"/>
      <c r="G67" s="52"/>
      <c r="H67" s="52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25">
      <c r="A68" s="53"/>
      <c r="B68" s="53"/>
      <c r="C68" s="53"/>
      <c r="D68" s="53"/>
      <c r="E68" s="53"/>
      <c r="F68" s="53"/>
      <c r="G68" s="52"/>
      <c r="H68" s="52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25">
      <c r="A69" s="53"/>
      <c r="B69" s="53"/>
      <c r="C69" s="53"/>
      <c r="D69" s="53"/>
      <c r="E69" s="53"/>
      <c r="F69" s="53"/>
      <c r="G69" s="52"/>
      <c r="H69" s="52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25">
      <c r="A70" s="53"/>
      <c r="B70" s="53"/>
      <c r="C70" s="53"/>
      <c r="D70" s="53"/>
      <c r="E70" s="53"/>
      <c r="F70" s="53"/>
      <c r="G70" s="52"/>
      <c r="H70" s="52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25">
      <c r="A71" s="53"/>
      <c r="B71" s="53"/>
      <c r="C71" s="53"/>
      <c r="D71" s="53"/>
      <c r="E71" s="53"/>
      <c r="F71" s="53"/>
      <c r="G71" s="52"/>
      <c r="H71" s="52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 x14ac:dyDescent="0.25">
      <c r="A72" s="53"/>
      <c r="B72" s="53"/>
      <c r="C72" s="53"/>
      <c r="D72" s="53"/>
      <c r="E72" s="53"/>
      <c r="F72" s="53"/>
      <c r="G72" s="52"/>
      <c r="H72" s="52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 x14ac:dyDescent="0.25">
      <c r="A73" s="53"/>
      <c r="B73" s="53"/>
      <c r="C73" s="53"/>
      <c r="D73" s="53"/>
      <c r="E73" s="53"/>
      <c r="F73" s="53"/>
      <c r="G73" s="52"/>
      <c r="H73" s="52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 x14ac:dyDescent="0.25">
      <c r="A74" s="53"/>
      <c r="B74" s="53"/>
      <c r="C74" s="53"/>
      <c r="D74" s="53"/>
      <c r="E74" s="53"/>
      <c r="F74" s="53"/>
      <c r="G74" s="52"/>
      <c r="H74" s="52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 x14ac:dyDescent="0.25">
      <c r="A75" s="53"/>
      <c r="B75" s="53"/>
      <c r="C75" s="53"/>
      <c r="D75" s="53"/>
      <c r="E75" s="53"/>
      <c r="F75" s="53"/>
      <c r="G75" s="52"/>
      <c r="H75" s="52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 x14ac:dyDescent="0.25">
      <c r="A76" s="53"/>
      <c r="B76" s="53"/>
      <c r="C76" s="53"/>
      <c r="D76" s="53"/>
      <c r="E76" s="53"/>
      <c r="F76" s="53"/>
      <c r="G76" s="52"/>
      <c r="H76" s="52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 x14ac:dyDescent="0.25">
      <c r="A77" s="53"/>
      <c r="B77" s="53"/>
      <c r="C77" s="53"/>
      <c r="D77" s="53"/>
      <c r="E77" s="53"/>
      <c r="F77" s="53"/>
      <c r="G77" s="52"/>
      <c r="H77" s="52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 x14ac:dyDescent="0.25">
      <c r="A78" s="53"/>
      <c r="B78" s="53"/>
      <c r="C78" s="53"/>
      <c r="D78" s="53"/>
      <c r="E78" s="53"/>
      <c r="F78" s="53"/>
      <c r="G78" s="52"/>
      <c r="H78" s="52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 x14ac:dyDescent="0.25">
      <c r="A79" s="53"/>
      <c r="B79" s="53"/>
      <c r="C79" s="53"/>
      <c r="D79" s="53"/>
      <c r="E79" s="53"/>
      <c r="F79" s="53"/>
      <c r="G79" s="52"/>
      <c r="H79" s="52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 x14ac:dyDescent="0.25">
      <c r="A80" s="53"/>
      <c r="B80" s="53"/>
      <c r="C80" s="53"/>
      <c r="D80" s="53"/>
      <c r="E80" s="53"/>
      <c r="F80" s="53"/>
      <c r="G80" s="52"/>
      <c r="H80" s="52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 x14ac:dyDescent="0.25">
      <c r="A81" s="53"/>
      <c r="B81" s="53"/>
      <c r="C81" s="53"/>
      <c r="D81" s="53"/>
      <c r="E81" s="53"/>
      <c r="F81" s="53"/>
      <c r="G81" s="52"/>
      <c r="H81" s="52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 x14ac:dyDescent="0.25">
      <c r="A82" s="53"/>
      <c r="B82" s="53"/>
      <c r="C82" s="53"/>
      <c r="D82" s="53"/>
      <c r="E82" s="53"/>
      <c r="F82" s="53"/>
      <c r="G82" s="52"/>
      <c r="H82" s="52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 x14ac:dyDescent="0.25">
      <c r="A83" s="53"/>
      <c r="B83" s="53"/>
      <c r="C83" s="53"/>
      <c r="D83" s="53"/>
      <c r="E83" s="53"/>
      <c r="F83" s="53"/>
      <c r="G83" s="52"/>
      <c r="H83" s="52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 x14ac:dyDescent="0.25">
      <c r="A84" s="53"/>
      <c r="B84" s="53"/>
      <c r="C84" s="53"/>
      <c r="D84" s="53"/>
      <c r="E84" s="53"/>
      <c r="F84" s="53"/>
      <c r="G84" s="52"/>
      <c r="H84" s="52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 x14ac:dyDescent="0.25">
      <c r="A85" s="53"/>
      <c r="B85" s="53"/>
      <c r="C85" s="53"/>
      <c r="D85" s="53"/>
      <c r="E85" s="53"/>
      <c r="F85" s="53"/>
      <c r="G85" s="52"/>
      <c r="H85" s="52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 x14ac:dyDescent="0.25">
      <c r="A86" s="53"/>
      <c r="B86" s="53"/>
      <c r="C86" s="53"/>
      <c r="D86" s="53"/>
      <c r="E86" s="53"/>
      <c r="F86" s="53"/>
      <c r="G86" s="52"/>
      <c r="H86" s="52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 x14ac:dyDescent="0.25">
      <c r="A87" s="53"/>
      <c r="B87" s="53"/>
      <c r="C87" s="53"/>
      <c r="D87" s="53"/>
      <c r="E87" s="53"/>
      <c r="F87" s="53"/>
      <c r="G87" s="52"/>
      <c r="H87" s="52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 x14ac:dyDescent="0.25">
      <c r="A88" s="53"/>
      <c r="B88" s="53"/>
      <c r="C88" s="53"/>
      <c r="D88" s="53"/>
      <c r="E88" s="53"/>
      <c r="F88" s="53"/>
      <c r="G88" s="52"/>
      <c r="H88" s="52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 x14ac:dyDescent="0.25">
      <c r="A89" s="53"/>
      <c r="B89" s="53"/>
      <c r="C89" s="53"/>
      <c r="D89" s="53"/>
      <c r="E89" s="53"/>
      <c r="F89" s="53"/>
      <c r="G89" s="52"/>
      <c r="H89" s="52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 x14ac:dyDescent="0.25">
      <c r="A90" s="53"/>
      <c r="B90" s="53"/>
      <c r="C90" s="53"/>
      <c r="D90" s="53"/>
      <c r="E90" s="53"/>
      <c r="F90" s="53"/>
      <c r="G90" s="52"/>
      <c r="H90" s="52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5">
      <c r="A91" s="53"/>
      <c r="B91" s="53"/>
      <c r="C91" s="53"/>
      <c r="D91" s="53"/>
      <c r="E91" s="53"/>
      <c r="F91" s="53"/>
      <c r="G91" s="52"/>
      <c r="H91" s="52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5">
      <c r="A92" s="53"/>
      <c r="B92" s="53"/>
      <c r="C92" s="53"/>
      <c r="D92" s="53"/>
      <c r="E92" s="53"/>
      <c r="F92" s="53"/>
      <c r="G92" s="52"/>
      <c r="H92" s="52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5">
      <c r="A93" s="53"/>
      <c r="B93" s="53"/>
      <c r="C93" s="53"/>
      <c r="D93" s="53"/>
      <c r="E93" s="53"/>
      <c r="F93" s="53"/>
      <c r="G93" s="52"/>
      <c r="H93" s="52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5">
      <c r="A94" s="53"/>
      <c r="B94" s="53"/>
      <c r="C94" s="53"/>
      <c r="D94" s="53"/>
      <c r="E94" s="53"/>
      <c r="F94" s="53"/>
      <c r="G94" s="52"/>
      <c r="H94" s="52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5">
      <c r="A95" s="53"/>
      <c r="B95" s="53"/>
      <c r="C95" s="53"/>
      <c r="D95" s="53"/>
      <c r="E95" s="53"/>
      <c r="F95" s="53"/>
      <c r="G95" s="52"/>
      <c r="H95" s="52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5">
      <c r="A96" s="53"/>
      <c r="B96" s="53"/>
      <c r="C96" s="53"/>
      <c r="D96" s="53"/>
      <c r="E96" s="53"/>
      <c r="F96" s="53"/>
      <c r="G96" s="52"/>
      <c r="H96" s="52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5">
      <c r="A97" s="53"/>
      <c r="B97" s="53"/>
      <c r="C97" s="53"/>
      <c r="D97" s="53"/>
      <c r="E97" s="53"/>
      <c r="F97" s="53"/>
      <c r="G97" s="52"/>
      <c r="H97" s="52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5">
      <c r="A98" s="53"/>
      <c r="B98" s="53"/>
      <c r="C98" s="53"/>
      <c r="D98" s="53"/>
      <c r="E98" s="53"/>
      <c r="F98" s="53"/>
      <c r="G98" s="52"/>
      <c r="H98" s="52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5">
      <c r="A99" s="53"/>
      <c r="B99" s="53"/>
      <c r="C99" s="53"/>
      <c r="D99" s="53"/>
      <c r="E99" s="53"/>
      <c r="F99" s="53"/>
      <c r="G99" s="52"/>
      <c r="H99" s="52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5">
      <c r="A100" s="53"/>
      <c r="B100" s="53"/>
      <c r="C100" s="53"/>
      <c r="D100" s="53"/>
      <c r="E100" s="53"/>
      <c r="F100" s="53"/>
      <c r="G100" s="52"/>
      <c r="H100" s="52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5">
      <c r="A101" s="53"/>
      <c r="B101" s="53"/>
      <c r="C101" s="53"/>
      <c r="D101" s="53"/>
      <c r="E101" s="53"/>
      <c r="F101" s="53"/>
      <c r="G101" s="52"/>
      <c r="H101" s="52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5">
      <c r="A102" s="53"/>
      <c r="B102" s="53"/>
      <c r="C102" s="53"/>
      <c r="D102" s="53"/>
      <c r="E102" s="53"/>
      <c r="F102" s="53"/>
      <c r="G102" s="52"/>
      <c r="H102" s="52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5">
      <c r="A103" s="53"/>
      <c r="B103" s="53"/>
      <c r="C103" s="53"/>
      <c r="D103" s="53"/>
      <c r="E103" s="53"/>
      <c r="F103" s="53"/>
      <c r="G103" s="52"/>
      <c r="H103" s="52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5">
      <c r="A104" s="53"/>
      <c r="B104" s="53"/>
      <c r="C104" s="53"/>
      <c r="D104" s="53"/>
      <c r="E104" s="53"/>
      <c r="F104" s="53"/>
      <c r="G104" s="52"/>
      <c r="H104" s="52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5">
      <c r="A105" s="53"/>
      <c r="B105" s="53"/>
      <c r="C105" s="53"/>
      <c r="D105" s="53"/>
      <c r="E105" s="53"/>
      <c r="F105" s="53"/>
      <c r="G105" s="52"/>
      <c r="H105" s="52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5">
      <c r="A106" s="53"/>
      <c r="B106" s="53"/>
      <c r="C106" s="53"/>
      <c r="D106" s="53"/>
      <c r="E106" s="53"/>
      <c r="F106" s="53"/>
      <c r="G106" s="52"/>
      <c r="H106" s="52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5">
      <c r="A107" s="53"/>
      <c r="B107" s="53"/>
      <c r="C107" s="53"/>
      <c r="D107" s="53"/>
      <c r="E107" s="53"/>
      <c r="F107" s="53"/>
      <c r="G107" s="52"/>
      <c r="H107" s="52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25">
      <c r="A108" s="53"/>
      <c r="B108" s="53"/>
      <c r="C108" s="53"/>
      <c r="D108" s="53"/>
      <c r="E108" s="53"/>
      <c r="F108" s="53"/>
      <c r="G108" s="52"/>
      <c r="H108" s="52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25">
      <c r="A109" s="53"/>
      <c r="B109" s="53"/>
      <c r="C109" s="53"/>
      <c r="D109" s="53"/>
      <c r="E109" s="53"/>
      <c r="F109" s="53"/>
      <c r="G109" s="52"/>
      <c r="H109" s="52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25">
      <c r="A110" s="53"/>
      <c r="B110" s="53"/>
      <c r="C110" s="53"/>
      <c r="D110" s="53"/>
      <c r="E110" s="53"/>
      <c r="F110" s="53"/>
      <c r="G110" s="52"/>
      <c r="H110" s="52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 x14ac:dyDescent="0.25">
      <c r="A111" s="53"/>
      <c r="B111" s="53"/>
      <c r="C111" s="53"/>
      <c r="D111" s="53"/>
      <c r="E111" s="53"/>
      <c r="F111" s="53"/>
      <c r="G111" s="52"/>
      <c r="H111" s="52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 x14ac:dyDescent="0.25">
      <c r="A112" s="53"/>
      <c r="B112" s="53"/>
      <c r="C112" s="53"/>
      <c r="D112" s="53"/>
      <c r="E112" s="53"/>
      <c r="F112" s="53"/>
      <c r="G112" s="52"/>
      <c r="H112" s="52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 x14ac:dyDescent="0.25">
      <c r="A113" s="53"/>
      <c r="B113" s="53"/>
      <c r="C113" s="53"/>
      <c r="D113" s="53"/>
      <c r="E113" s="53"/>
      <c r="F113" s="53"/>
      <c r="G113" s="52"/>
      <c r="H113" s="52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 x14ac:dyDescent="0.25">
      <c r="A114" s="53"/>
      <c r="B114" s="53"/>
      <c r="C114" s="53"/>
      <c r="D114" s="53"/>
      <c r="E114" s="53"/>
      <c r="F114" s="53"/>
      <c r="G114" s="52"/>
      <c r="H114" s="52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 x14ac:dyDescent="0.25">
      <c r="A115" s="53"/>
      <c r="B115" s="53"/>
      <c r="C115" s="53"/>
      <c r="D115" s="53"/>
      <c r="E115" s="53"/>
      <c r="F115" s="53"/>
      <c r="G115" s="52"/>
      <c r="H115" s="52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 x14ac:dyDescent="0.25">
      <c r="A116" s="53"/>
      <c r="B116" s="53"/>
      <c r="C116" s="53"/>
      <c r="D116" s="53"/>
      <c r="E116" s="53"/>
      <c r="F116" s="53"/>
      <c r="G116" s="52"/>
      <c r="H116" s="52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 x14ac:dyDescent="0.25">
      <c r="A117" s="53"/>
      <c r="B117" s="53"/>
      <c r="C117" s="53"/>
      <c r="D117" s="53"/>
      <c r="E117" s="53"/>
      <c r="F117" s="53"/>
      <c r="G117" s="52"/>
      <c r="H117" s="52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 x14ac:dyDescent="0.25">
      <c r="A118" s="53"/>
      <c r="B118" s="53"/>
      <c r="C118" s="53"/>
      <c r="D118" s="53"/>
      <c r="E118" s="53"/>
      <c r="F118" s="53"/>
      <c r="G118" s="52"/>
      <c r="H118" s="52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 x14ac:dyDescent="0.25">
      <c r="A119" s="53"/>
      <c r="B119" s="53"/>
      <c r="C119" s="53"/>
      <c r="D119" s="53"/>
      <c r="E119" s="53"/>
      <c r="F119" s="53"/>
      <c r="G119" s="52"/>
      <c r="H119" s="52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 x14ac:dyDescent="0.25">
      <c r="A120" s="53"/>
      <c r="B120" s="53"/>
      <c r="C120" s="53"/>
      <c r="D120" s="53"/>
      <c r="E120" s="53"/>
      <c r="F120" s="53"/>
      <c r="G120" s="52"/>
      <c r="H120" s="52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 x14ac:dyDescent="0.25">
      <c r="A121" s="53"/>
      <c r="B121" s="53"/>
      <c r="C121" s="53"/>
      <c r="D121" s="53"/>
      <c r="E121" s="53"/>
      <c r="F121" s="53"/>
      <c r="G121" s="52"/>
      <c r="H121" s="52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 x14ac:dyDescent="0.25">
      <c r="A122" s="53"/>
      <c r="B122" s="53"/>
      <c r="C122" s="53"/>
      <c r="D122" s="53"/>
      <c r="E122" s="53"/>
      <c r="F122" s="53"/>
      <c r="G122" s="52"/>
      <c r="H122" s="52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 x14ac:dyDescent="0.25">
      <c r="A123" s="53"/>
      <c r="B123" s="53"/>
      <c r="C123" s="53"/>
      <c r="D123" s="53"/>
      <c r="E123" s="53"/>
      <c r="F123" s="53"/>
      <c r="G123" s="52"/>
      <c r="H123" s="52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 x14ac:dyDescent="0.25">
      <c r="A124" s="53"/>
      <c r="B124" s="53"/>
      <c r="C124" s="53"/>
      <c r="D124" s="53"/>
      <c r="E124" s="53"/>
      <c r="F124" s="53"/>
      <c r="G124" s="52"/>
      <c r="H124" s="52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 x14ac:dyDescent="0.25">
      <c r="A125" s="53"/>
      <c r="B125" s="53"/>
      <c r="C125" s="53"/>
      <c r="D125" s="53"/>
      <c r="E125" s="53"/>
      <c r="F125" s="53"/>
      <c r="G125" s="52"/>
      <c r="H125" s="52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 x14ac:dyDescent="0.25">
      <c r="A126" s="53"/>
      <c r="B126" s="53"/>
      <c r="C126" s="53"/>
      <c r="D126" s="53"/>
      <c r="E126" s="53"/>
      <c r="F126" s="53"/>
      <c r="G126" s="52"/>
      <c r="H126" s="52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 x14ac:dyDescent="0.25">
      <c r="A127" s="53"/>
      <c r="B127" s="53"/>
      <c r="C127" s="53"/>
      <c r="D127" s="53"/>
      <c r="E127" s="53"/>
      <c r="F127" s="53"/>
      <c r="G127" s="52"/>
      <c r="H127" s="52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 x14ac:dyDescent="0.25">
      <c r="A128" s="53"/>
      <c r="B128" s="53"/>
      <c r="C128" s="53"/>
      <c r="D128" s="53"/>
      <c r="E128" s="53"/>
      <c r="F128" s="53"/>
      <c r="G128" s="52"/>
      <c r="H128" s="52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 x14ac:dyDescent="0.25">
      <c r="A129" s="53"/>
      <c r="B129" s="53"/>
      <c r="C129" s="53"/>
      <c r="D129" s="53"/>
      <c r="E129" s="53"/>
      <c r="F129" s="53"/>
      <c r="G129" s="52"/>
      <c r="H129" s="52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 x14ac:dyDescent="0.25">
      <c r="A130" s="53"/>
      <c r="B130" s="53"/>
      <c r="C130" s="53"/>
      <c r="D130" s="53"/>
      <c r="E130" s="53"/>
      <c r="F130" s="53"/>
      <c r="G130" s="52"/>
      <c r="H130" s="52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 x14ac:dyDescent="0.25">
      <c r="A131" s="53"/>
      <c r="B131" s="53"/>
      <c r="C131" s="53"/>
      <c r="D131" s="53"/>
      <c r="E131" s="53"/>
      <c r="F131" s="53"/>
      <c r="G131" s="52"/>
      <c r="H131" s="52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 x14ac:dyDescent="0.25">
      <c r="A132" s="53"/>
      <c r="B132" s="53"/>
      <c r="C132" s="53"/>
      <c r="D132" s="53"/>
      <c r="E132" s="53"/>
      <c r="F132" s="53"/>
      <c r="G132" s="52"/>
      <c r="H132" s="52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 x14ac:dyDescent="0.25">
      <c r="A133" s="53"/>
      <c r="B133" s="53"/>
      <c r="C133" s="53"/>
      <c r="D133" s="53"/>
      <c r="E133" s="53"/>
      <c r="F133" s="53"/>
      <c r="G133" s="52"/>
      <c r="H133" s="52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 x14ac:dyDescent="0.25">
      <c r="A134" s="53"/>
      <c r="B134" s="53"/>
      <c r="C134" s="53"/>
      <c r="D134" s="53"/>
      <c r="E134" s="53"/>
      <c r="F134" s="53"/>
      <c r="G134" s="52"/>
      <c r="H134" s="52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 x14ac:dyDescent="0.25">
      <c r="A135" s="53"/>
      <c r="B135" s="53"/>
      <c r="C135" s="53"/>
      <c r="D135" s="53"/>
      <c r="E135" s="53"/>
      <c r="F135" s="53"/>
      <c r="G135" s="52"/>
      <c r="H135" s="52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 x14ac:dyDescent="0.25">
      <c r="A136" s="53"/>
      <c r="B136" s="53"/>
      <c r="C136" s="53"/>
      <c r="D136" s="53"/>
      <c r="E136" s="53"/>
      <c r="F136" s="53"/>
      <c r="G136" s="52"/>
      <c r="H136" s="52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 x14ac:dyDescent="0.25">
      <c r="A137" s="53"/>
      <c r="B137" s="53"/>
      <c r="C137" s="53"/>
      <c r="D137" s="53"/>
      <c r="E137" s="53"/>
      <c r="F137" s="53"/>
      <c r="G137" s="52"/>
      <c r="H137" s="52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 x14ac:dyDescent="0.25">
      <c r="A138" s="53"/>
      <c r="B138" s="53"/>
      <c r="C138" s="53"/>
      <c r="D138" s="53"/>
      <c r="E138" s="53"/>
      <c r="F138" s="53"/>
      <c r="G138" s="52"/>
      <c r="H138" s="52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25">
      <c r="A139" s="53"/>
      <c r="B139" s="53"/>
      <c r="C139" s="53"/>
      <c r="D139" s="53"/>
      <c r="E139" s="53"/>
      <c r="F139" s="53"/>
      <c r="G139" s="52"/>
      <c r="H139" s="52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25">
      <c r="A140" s="53"/>
      <c r="B140" s="53"/>
      <c r="C140" s="53"/>
      <c r="D140" s="53"/>
      <c r="E140" s="53"/>
      <c r="F140" s="53"/>
      <c r="G140" s="52"/>
      <c r="H140" s="52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25">
      <c r="A141" s="53"/>
      <c r="B141" s="53"/>
      <c r="C141" s="53"/>
      <c r="D141" s="53"/>
      <c r="E141" s="53"/>
      <c r="F141" s="53"/>
      <c r="G141" s="52"/>
      <c r="H141" s="52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 x14ac:dyDescent="0.25">
      <c r="A142" s="53"/>
      <c r="B142" s="53"/>
      <c r="C142" s="53"/>
      <c r="D142" s="53"/>
      <c r="E142" s="53"/>
      <c r="F142" s="53"/>
      <c r="G142" s="52"/>
      <c r="H142" s="52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 x14ac:dyDescent="0.25">
      <c r="A143" s="53"/>
      <c r="B143" s="53"/>
      <c r="C143" s="53"/>
      <c r="D143" s="53"/>
      <c r="E143" s="53"/>
      <c r="F143" s="53"/>
      <c r="G143" s="52"/>
      <c r="H143" s="52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 x14ac:dyDescent="0.25">
      <c r="A144" s="53"/>
      <c r="B144" s="53"/>
      <c r="C144" s="53"/>
      <c r="D144" s="53"/>
      <c r="E144" s="53"/>
      <c r="F144" s="53"/>
      <c r="G144" s="52"/>
      <c r="H144" s="52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 x14ac:dyDescent="0.25">
      <c r="A145" s="53"/>
      <c r="B145" s="53"/>
      <c r="C145" s="53"/>
      <c r="D145" s="53"/>
      <c r="E145" s="53"/>
      <c r="F145" s="53"/>
      <c r="G145" s="52"/>
      <c r="H145" s="52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 x14ac:dyDescent="0.25">
      <c r="A146" s="53"/>
      <c r="B146" s="53"/>
      <c r="C146" s="53"/>
      <c r="D146" s="53"/>
      <c r="E146" s="53"/>
      <c r="F146" s="53"/>
      <c r="G146" s="52"/>
      <c r="H146" s="52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 x14ac:dyDescent="0.25">
      <c r="A147" s="53"/>
      <c r="B147" s="53"/>
      <c r="C147" s="53"/>
      <c r="D147" s="53"/>
      <c r="E147" s="53"/>
      <c r="F147" s="53"/>
      <c r="G147" s="52"/>
      <c r="H147" s="52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 x14ac:dyDescent="0.25">
      <c r="A148" s="53"/>
      <c r="B148" s="53"/>
      <c r="C148" s="53"/>
      <c r="D148" s="53"/>
      <c r="E148" s="53"/>
      <c r="F148" s="53"/>
      <c r="G148" s="52"/>
      <c r="H148" s="52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 x14ac:dyDescent="0.25">
      <c r="A149" s="53"/>
      <c r="B149" s="53"/>
      <c r="C149" s="53"/>
      <c r="D149" s="53"/>
      <c r="E149" s="53"/>
      <c r="F149" s="53"/>
      <c r="G149" s="52"/>
      <c r="H149" s="52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 x14ac:dyDescent="0.25">
      <c r="A150" s="53"/>
      <c r="B150" s="53"/>
      <c r="C150" s="53"/>
      <c r="D150" s="53"/>
      <c r="E150" s="53"/>
      <c r="F150" s="53"/>
      <c r="G150" s="52"/>
      <c r="H150" s="52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 x14ac:dyDescent="0.25">
      <c r="A151" s="53"/>
      <c r="B151" s="53"/>
      <c r="C151" s="53"/>
      <c r="D151" s="53"/>
      <c r="E151" s="53"/>
      <c r="F151" s="53"/>
      <c r="G151" s="52"/>
      <c r="H151" s="52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 x14ac:dyDescent="0.25">
      <c r="A152" s="53"/>
      <c r="B152" s="53"/>
      <c r="C152" s="53"/>
      <c r="D152" s="53"/>
      <c r="E152" s="53"/>
      <c r="F152" s="53"/>
      <c r="G152" s="52"/>
      <c r="H152" s="52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 x14ac:dyDescent="0.25">
      <c r="A153" s="53"/>
      <c r="B153" s="53"/>
      <c r="C153" s="53"/>
      <c r="D153" s="53"/>
      <c r="E153" s="53"/>
      <c r="F153" s="53"/>
      <c r="G153" s="52"/>
      <c r="H153" s="52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 x14ac:dyDescent="0.25">
      <c r="A154" s="53"/>
      <c r="B154" s="53"/>
      <c r="C154" s="53"/>
      <c r="D154" s="53"/>
      <c r="E154" s="53"/>
      <c r="F154" s="53"/>
      <c r="G154" s="52"/>
      <c r="H154" s="52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 x14ac:dyDescent="0.25">
      <c r="A155" s="53"/>
      <c r="B155" s="53"/>
      <c r="C155" s="53"/>
      <c r="D155" s="53"/>
      <c r="E155" s="53"/>
      <c r="F155" s="53"/>
      <c r="G155" s="52"/>
      <c r="H155" s="52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 x14ac:dyDescent="0.25">
      <c r="A156" s="53"/>
      <c r="B156" s="53"/>
      <c r="C156" s="53"/>
      <c r="D156" s="53"/>
      <c r="E156" s="53"/>
      <c r="F156" s="53"/>
      <c r="G156" s="52"/>
      <c r="H156" s="52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 x14ac:dyDescent="0.25">
      <c r="A157" s="53"/>
      <c r="B157" s="53"/>
      <c r="C157" s="53"/>
      <c r="D157" s="53"/>
      <c r="E157" s="53"/>
      <c r="F157" s="53"/>
      <c r="G157" s="52"/>
      <c r="H157" s="52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 x14ac:dyDescent="0.25">
      <c r="A158" s="53"/>
      <c r="B158" s="53"/>
      <c r="C158" s="53"/>
      <c r="D158" s="53"/>
      <c r="E158" s="53"/>
      <c r="F158" s="53"/>
      <c r="G158" s="52"/>
      <c r="H158" s="52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 x14ac:dyDescent="0.25">
      <c r="A159" s="53"/>
      <c r="B159" s="53"/>
      <c r="C159" s="53"/>
      <c r="D159" s="53"/>
      <c r="E159" s="53"/>
      <c r="F159" s="53"/>
      <c r="G159" s="52"/>
      <c r="H159" s="52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 x14ac:dyDescent="0.25">
      <c r="A160" s="53"/>
      <c r="B160" s="53"/>
      <c r="C160" s="53"/>
      <c r="D160" s="53"/>
      <c r="E160" s="53"/>
      <c r="F160" s="53"/>
      <c r="G160" s="52"/>
      <c r="H160" s="52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 x14ac:dyDescent="0.25">
      <c r="A161" s="53"/>
      <c r="B161" s="53"/>
      <c r="C161" s="53"/>
      <c r="D161" s="53"/>
      <c r="E161" s="53"/>
      <c r="F161" s="53"/>
      <c r="G161" s="52"/>
      <c r="H161" s="52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 x14ac:dyDescent="0.25">
      <c r="A162" s="53"/>
      <c r="B162" s="53"/>
      <c r="C162" s="53"/>
      <c r="D162" s="53"/>
      <c r="E162" s="53"/>
      <c r="F162" s="53"/>
      <c r="G162" s="52"/>
      <c r="H162" s="52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 x14ac:dyDescent="0.25">
      <c r="A163" s="53"/>
      <c r="B163" s="53"/>
      <c r="C163" s="53"/>
      <c r="D163" s="53"/>
      <c r="E163" s="53"/>
      <c r="F163" s="53"/>
      <c r="G163" s="52"/>
      <c r="H163" s="52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 x14ac:dyDescent="0.25">
      <c r="A164" s="53"/>
      <c r="B164" s="53"/>
      <c r="C164" s="53"/>
      <c r="D164" s="53"/>
      <c r="E164" s="53"/>
      <c r="F164" s="53"/>
      <c r="G164" s="52"/>
      <c r="H164" s="52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 x14ac:dyDescent="0.25">
      <c r="A165" s="53"/>
      <c r="B165" s="53"/>
      <c r="C165" s="53"/>
      <c r="D165" s="53"/>
      <c r="E165" s="53"/>
      <c r="F165" s="53"/>
      <c r="G165" s="52"/>
      <c r="H165" s="52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 x14ac:dyDescent="0.25">
      <c r="A166" s="53"/>
      <c r="B166" s="53"/>
      <c r="C166" s="53"/>
      <c r="D166" s="53"/>
      <c r="E166" s="53"/>
      <c r="F166" s="53"/>
      <c r="G166" s="52"/>
      <c r="H166" s="52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 x14ac:dyDescent="0.25">
      <c r="A167" s="53"/>
      <c r="B167" s="53"/>
      <c r="C167" s="53"/>
      <c r="D167" s="53"/>
      <c r="E167" s="53"/>
      <c r="F167" s="53"/>
      <c r="G167" s="52"/>
      <c r="H167" s="52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 x14ac:dyDescent="0.25">
      <c r="A168" s="53"/>
      <c r="B168" s="53"/>
      <c r="C168" s="53"/>
      <c r="D168" s="53"/>
      <c r="E168" s="53"/>
      <c r="F168" s="53"/>
      <c r="G168" s="52"/>
      <c r="H168" s="52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 x14ac:dyDescent="0.25">
      <c r="A169" s="53"/>
      <c r="B169" s="53"/>
      <c r="C169" s="53"/>
      <c r="D169" s="53"/>
      <c r="E169" s="53"/>
      <c r="F169" s="53"/>
      <c r="G169" s="52"/>
      <c r="H169" s="52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 x14ac:dyDescent="0.25">
      <c r="A170" s="53"/>
      <c r="B170" s="53"/>
      <c r="C170" s="53"/>
      <c r="D170" s="53"/>
      <c r="E170" s="53"/>
      <c r="F170" s="53"/>
      <c r="G170" s="52"/>
      <c r="H170" s="52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 x14ac:dyDescent="0.2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 x14ac:dyDescent="0.2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 x14ac:dyDescent="0.2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 x14ac:dyDescent="0.2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 x14ac:dyDescent="0.2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 x14ac:dyDescent="0.2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 x14ac:dyDescent="0.2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 x14ac:dyDescent="0.2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 x14ac:dyDescent="0.2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 x14ac:dyDescent="0.2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 x14ac:dyDescent="0.2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 x14ac:dyDescent="0.2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 x14ac:dyDescent="0.2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 x14ac:dyDescent="0.2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 x14ac:dyDescent="0.2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 x14ac:dyDescent="0.2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 x14ac:dyDescent="0.2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 x14ac:dyDescent="0.2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 x14ac:dyDescent="0.2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 x14ac:dyDescent="0.2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 x14ac:dyDescent="0.2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 x14ac:dyDescent="0.2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 x14ac:dyDescent="0.2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 x14ac:dyDescent="0.2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 x14ac:dyDescent="0.2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 x14ac:dyDescent="0.2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 x14ac:dyDescent="0.2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 x14ac:dyDescent="0.2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 x14ac:dyDescent="0.2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 x14ac:dyDescent="0.2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 x14ac:dyDescent="0.2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 x14ac:dyDescent="0.2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 x14ac:dyDescent="0.2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 x14ac:dyDescent="0.2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</sheetData>
  <mergeCells count="17">
    <mergeCell ref="A4:I4"/>
    <mergeCell ref="A7:F7"/>
    <mergeCell ref="A8:F8"/>
    <mergeCell ref="A10:F10"/>
    <mergeCell ref="C23:E23"/>
    <mergeCell ref="C11:E11"/>
    <mergeCell ref="C12:E12"/>
    <mergeCell ref="C15:E15"/>
    <mergeCell ref="C16:E16"/>
    <mergeCell ref="C13:E13"/>
    <mergeCell ref="C14:E14"/>
    <mergeCell ref="C17:F17"/>
    <mergeCell ref="A18:F18"/>
    <mergeCell ref="E19:F19"/>
    <mergeCell ref="C22:E22"/>
    <mergeCell ref="C20:E20"/>
    <mergeCell ref="C21:E21"/>
  </mergeCells>
  <pageMargins left="0.24" right="0.17" top="0.17" bottom="0.17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2"/>
  <sheetViews>
    <sheetView showGridLines="0" topLeftCell="A25" workbookViewId="0">
      <selection activeCell="L36" sqref="L36"/>
    </sheetView>
  </sheetViews>
  <sheetFormatPr defaultColWidth="12.6640625" defaultRowHeight="15" customHeight="1" x14ac:dyDescent="0.25"/>
  <cols>
    <col min="1" max="1" width="4.109375" customWidth="1"/>
    <col min="2" max="2" width="15.21875" customWidth="1"/>
    <col min="3" max="3" width="17.44140625" customWidth="1"/>
    <col min="4" max="4" width="7.77734375" customWidth="1"/>
    <col min="5" max="5" width="4.88671875" customWidth="1"/>
    <col min="6" max="6" width="6.77734375" customWidth="1"/>
    <col min="7" max="7" width="11" customWidth="1"/>
    <col min="8" max="8" width="12.109375" customWidth="1"/>
    <col min="9" max="9" width="22.44140625" customWidth="1"/>
    <col min="10" max="10" width="10.77734375" customWidth="1"/>
  </cols>
  <sheetData>
    <row r="1" spans="1:25" ht="13.8" x14ac:dyDescent="0.25">
      <c r="A1" s="1"/>
      <c r="B1" s="1"/>
      <c r="C1" s="2"/>
      <c r="D1" s="1"/>
      <c r="E1" s="1"/>
      <c r="F1" s="1"/>
      <c r="G1" s="7"/>
      <c r="H1" s="7"/>
      <c r="I1" s="1"/>
      <c r="J1" s="1"/>
    </row>
    <row r="2" spans="1:25" ht="13.8" x14ac:dyDescent="0.25">
      <c r="A2" s="1"/>
      <c r="B2" s="1"/>
      <c r="C2" s="2"/>
      <c r="D2" s="1"/>
      <c r="E2" s="1"/>
      <c r="F2" s="1"/>
      <c r="G2" s="7"/>
      <c r="H2" s="7"/>
      <c r="I2" s="1"/>
      <c r="J2" s="1"/>
    </row>
    <row r="3" spans="1:25" ht="13.8" x14ac:dyDescent="0.25">
      <c r="A3" s="1"/>
      <c r="B3" s="1"/>
      <c r="C3" s="2"/>
      <c r="D3" s="1"/>
      <c r="E3" s="1"/>
      <c r="F3" s="1"/>
      <c r="G3" s="7"/>
      <c r="H3" s="7"/>
      <c r="I3" s="1"/>
      <c r="J3" s="1"/>
    </row>
    <row r="4" spans="1:25" ht="21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"/>
    </row>
    <row r="5" spans="1:25" ht="21" customHeight="1" x14ac:dyDescent="0.25">
      <c r="A5" s="3"/>
      <c r="B5" s="1"/>
      <c r="C5" s="2"/>
      <c r="D5" s="1"/>
      <c r="E5" s="1"/>
      <c r="F5" s="1"/>
      <c r="G5" s="1"/>
      <c r="H5" s="1"/>
      <c r="I5" s="1"/>
      <c r="J5" s="1"/>
    </row>
    <row r="6" spans="1:25" ht="21" customHeight="1" x14ac:dyDescent="0.25">
      <c r="A6" s="3"/>
      <c r="B6" s="1"/>
      <c r="C6" s="2"/>
      <c r="D6" s="1"/>
      <c r="E6" s="1"/>
      <c r="F6" s="1"/>
      <c r="G6" s="1"/>
      <c r="H6" s="1"/>
      <c r="I6" s="1"/>
      <c r="J6" s="1"/>
      <c r="K6" s="87"/>
      <c r="L6" s="87"/>
      <c r="M6" s="87"/>
      <c r="N6" s="87"/>
      <c r="O6" s="87"/>
      <c r="P6" s="87"/>
    </row>
    <row r="7" spans="1:25" ht="22.5" customHeight="1" x14ac:dyDescent="0.25">
      <c r="A7" s="188" t="s">
        <v>108</v>
      </c>
      <c r="B7" s="149"/>
      <c r="C7" s="149"/>
      <c r="D7" s="149"/>
      <c r="E7" s="149"/>
      <c r="F7" s="149"/>
      <c r="G7" s="149"/>
      <c r="H7" s="149"/>
      <c r="I7" s="149"/>
      <c r="J7" s="149"/>
      <c r="K7" s="87"/>
      <c r="L7" s="87"/>
      <c r="M7" s="87"/>
      <c r="N7" s="87"/>
      <c r="O7" s="87"/>
      <c r="P7" s="87"/>
    </row>
    <row r="8" spans="1:25" ht="24" customHeight="1" x14ac:dyDescent="0.25">
      <c r="A8" s="189" t="s">
        <v>84</v>
      </c>
      <c r="B8" s="177"/>
      <c r="C8" s="177"/>
      <c r="D8" s="177"/>
      <c r="E8" s="177"/>
      <c r="F8" s="177"/>
      <c r="G8" s="177"/>
      <c r="H8" s="177"/>
      <c r="I8" s="177"/>
      <c r="J8" s="190"/>
    </row>
    <row r="9" spans="1:25" ht="13.8" x14ac:dyDescent="0.25">
      <c r="A9" s="191" t="s">
        <v>3</v>
      </c>
      <c r="B9" s="149"/>
      <c r="C9" s="4">
        <v>70</v>
      </c>
      <c r="D9" s="3"/>
      <c r="E9" s="1"/>
      <c r="F9" s="1"/>
      <c r="G9" s="7"/>
      <c r="H9" s="7"/>
      <c r="I9" s="1"/>
      <c r="J9" s="1"/>
    </row>
    <row r="10" spans="1:25" ht="21" customHeight="1" x14ac:dyDescent="0.25">
      <c r="A10" s="192" t="s">
        <v>0</v>
      </c>
      <c r="B10" s="185" t="s">
        <v>1</v>
      </c>
      <c r="C10" s="194" t="s">
        <v>4</v>
      </c>
      <c r="D10" s="185" t="s">
        <v>5</v>
      </c>
      <c r="E10" s="186" t="s">
        <v>6</v>
      </c>
      <c r="F10" s="186" t="s">
        <v>7</v>
      </c>
      <c r="G10" s="187" t="s">
        <v>8</v>
      </c>
      <c r="H10" s="187" t="s">
        <v>9</v>
      </c>
      <c r="I10" s="193" t="s">
        <v>10</v>
      </c>
      <c r="J10" s="193" t="s">
        <v>11</v>
      </c>
    </row>
    <row r="11" spans="1:25" ht="21" customHeight="1" x14ac:dyDescent="0.25">
      <c r="A11" s="153"/>
      <c r="B11" s="153"/>
      <c r="C11" s="153"/>
      <c r="D11" s="153"/>
      <c r="E11" s="153"/>
      <c r="F11" s="153"/>
      <c r="G11" s="153"/>
      <c r="H11" s="153"/>
      <c r="I11" s="153"/>
      <c r="J11" s="153"/>
    </row>
    <row r="12" spans="1:25" ht="13.8" x14ac:dyDescent="0.25">
      <c r="A12" s="180" t="s">
        <v>12</v>
      </c>
      <c r="B12" s="181"/>
      <c r="C12" s="181"/>
      <c r="D12" s="181"/>
      <c r="E12" s="158"/>
      <c r="F12" s="10"/>
      <c r="G12" s="157">
        <f>SUM(H13:H14)</f>
        <v>50000000</v>
      </c>
      <c r="H12" s="158"/>
      <c r="I12" s="10"/>
      <c r="J12" s="10"/>
    </row>
    <row r="13" spans="1:25" ht="14.4" thickBot="1" x14ac:dyDescent="0.3">
      <c r="A13" s="11">
        <v>1</v>
      </c>
      <c r="B13" s="211" t="s">
        <v>119</v>
      </c>
      <c r="C13" s="145"/>
      <c r="D13" s="88" t="s">
        <v>13</v>
      </c>
      <c r="E13" s="88">
        <v>1</v>
      </c>
      <c r="F13" s="12">
        <v>1</v>
      </c>
      <c r="G13" s="13">
        <v>26000000</v>
      </c>
      <c r="H13" s="89">
        <f>G13*F13*E13</f>
        <v>26000000</v>
      </c>
      <c r="I13" s="14"/>
      <c r="J13" s="15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spans="1:25" ht="13.8" x14ac:dyDescent="0.25">
      <c r="A14" s="11">
        <v>2</v>
      </c>
      <c r="B14" s="214" t="s">
        <v>112</v>
      </c>
      <c r="C14" s="215"/>
      <c r="D14" s="125" t="s">
        <v>111</v>
      </c>
      <c r="E14" s="121">
        <v>1</v>
      </c>
      <c r="F14" s="122">
        <v>1</v>
      </c>
      <c r="G14" s="116">
        <v>24000000</v>
      </c>
      <c r="H14" s="89">
        <f>G14*F14*E14</f>
        <v>24000000</v>
      </c>
      <c r="I14" s="123"/>
      <c r="J14" s="124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spans="1:25" ht="14.4" thickBot="1" x14ac:dyDescent="0.3">
      <c r="A15" s="183" t="s">
        <v>14</v>
      </c>
      <c r="B15" s="177"/>
      <c r="C15" s="177"/>
      <c r="D15" s="177"/>
      <c r="E15" s="160"/>
      <c r="F15" s="22"/>
      <c r="G15" s="159">
        <f>SUM(H16)</f>
        <v>56000000</v>
      </c>
      <c r="H15" s="160"/>
      <c r="I15" s="22"/>
      <c r="J15" s="22"/>
    </row>
    <row r="16" spans="1:25" ht="39" customHeight="1" x14ac:dyDescent="0.25">
      <c r="A16" s="23">
        <v>1</v>
      </c>
      <c r="B16" s="212" t="s">
        <v>127</v>
      </c>
      <c r="C16" s="213"/>
      <c r="D16" s="24" t="s">
        <v>128</v>
      </c>
      <c r="E16" s="25">
        <f>C9</f>
        <v>70</v>
      </c>
      <c r="F16" s="25">
        <v>2</v>
      </c>
      <c r="G16" s="13">
        <v>400000</v>
      </c>
      <c r="H16" s="13">
        <f>G16*E16*F16</f>
        <v>56000000</v>
      </c>
      <c r="I16" s="90" t="s">
        <v>154</v>
      </c>
      <c r="J16" s="26"/>
    </row>
    <row r="17" spans="1:10" ht="13.8" x14ac:dyDescent="0.25">
      <c r="A17" s="176" t="s">
        <v>16</v>
      </c>
      <c r="B17" s="177"/>
      <c r="C17" s="177"/>
      <c r="D17" s="177"/>
      <c r="E17" s="160"/>
      <c r="F17" s="30"/>
      <c r="G17" s="161">
        <f>SUM(H18:H24)</f>
        <v>80850000</v>
      </c>
      <c r="H17" s="160"/>
      <c r="I17" s="30"/>
      <c r="J17" s="30"/>
    </row>
    <row r="18" spans="1:10" ht="42.75" customHeight="1" x14ac:dyDescent="0.25">
      <c r="A18" s="23">
        <v>1</v>
      </c>
      <c r="B18" s="31" t="s">
        <v>17</v>
      </c>
      <c r="C18" s="90" t="s">
        <v>23</v>
      </c>
      <c r="D18" s="14" t="s">
        <v>18</v>
      </c>
      <c r="E18" s="14">
        <v>70</v>
      </c>
      <c r="F18" s="14">
        <v>1</v>
      </c>
      <c r="G18" s="13">
        <v>75000</v>
      </c>
      <c r="H18" s="13">
        <f t="shared" ref="H18:H24" si="0">G18*F18*E18</f>
        <v>5250000</v>
      </c>
      <c r="I18" s="14" t="s">
        <v>19</v>
      </c>
      <c r="J18" s="32" t="s">
        <v>20</v>
      </c>
    </row>
    <row r="19" spans="1:10" ht="13.8" x14ac:dyDescent="0.25">
      <c r="A19" s="23">
        <v>2</v>
      </c>
      <c r="B19" s="34" t="s">
        <v>21</v>
      </c>
      <c r="C19" s="92" t="s">
        <v>23</v>
      </c>
      <c r="D19" s="34" t="s">
        <v>18</v>
      </c>
      <c r="E19" s="36">
        <f>C9</f>
        <v>70</v>
      </c>
      <c r="F19" s="36">
        <v>1</v>
      </c>
      <c r="G19" s="37">
        <v>150000</v>
      </c>
      <c r="H19" s="37">
        <f t="shared" si="0"/>
        <v>10500000</v>
      </c>
      <c r="I19" s="38"/>
      <c r="J19" s="39"/>
    </row>
    <row r="20" spans="1:10" ht="38.25" customHeight="1" x14ac:dyDescent="0.25">
      <c r="A20" s="23">
        <v>3</v>
      </c>
      <c r="B20" s="34" t="s">
        <v>22</v>
      </c>
      <c r="C20" s="34" t="s">
        <v>23</v>
      </c>
      <c r="D20" s="34" t="s">
        <v>18</v>
      </c>
      <c r="E20" s="36">
        <f>C9</f>
        <v>70</v>
      </c>
      <c r="F20" s="36">
        <v>1</v>
      </c>
      <c r="G20" s="37">
        <v>150000</v>
      </c>
      <c r="H20" s="37">
        <f t="shared" si="0"/>
        <v>10500000</v>
      </c>
      <c r="I20" s="34"/>
      <c r="J20" s="39"/>
    </row>
    <row r="21" spans="1:10" ht="33" customHeight="1" x14ac:dyDescent="0.25">
      <c r="A21" s="23">
        <v>4</v>
      </c>
      <c r="B21" s="93" t="s">
        <v>24</v>
      </c>
      <c r="C21" s="92" t="s">
        <v>123</v>
      </c>
      <c r="D21" s="34" t="s">
        <v>18</v>
      </c>
      <c r="E21" s="36">
        <v>70</v>
      </c>
      <c r="F21" s="36">
        <v>1</v>
      </c>
      <c r="G21" s="37">
        <v>180000</v>
      </c>
      <c r="H21" s="37">
        <f t="shared" si="0"/>
        <v>12600000</v>
      </c>
      <c r="I21" s="102"/>
      <c r="J21" s="39"/>
    </row>
    <row r="22" spans="1:10" ht="30" customHeight="1" x14ac:dyDescent="0.25">
      <c r="A22" s="23">
        <v>5</v>
      </c>
      <c r="B22" s="34" t="s">
        <v>25</v>
      </c>
      <c r="C22" s="92" t="s">
        <v>23</v>
      </c>
      <c r="D22" s="34" t="s">
        <v>18</v>
      </c>
      <c r="E22" s="36">
        <v>70</v>
      </c>
      <c r="F22" s="36">
        <v>1</v>
      </c>
      <c r="G22" s="103">
        <v>300000</v>
      </c>
      <c r="H22" s="37">
        <f t="shared" si="0"/>
        <v>21000000</v>
      </c>
      <c r="I22" s="102" t="s">
        <v>26</v>
      </c>
      <c r="J22" s="39"/>
    </row>
    <row r="23" spans="1:10" ht="29.4" customHeight="1" x14ac:dyDescent="0.25">
      <c r="A23" s="23">
        <v>6</v>
      </c>
      <c r="B23" s="34" t="s">
        <v>85</v>
      </c>
      <c r="C23" s="92" t="s">
        <v>120</v>
      </c>
      <c r="D23" s="34" t="s">
        <v>18</v>
      </c>
      <c r="E23" s="36">
        <v>70</v>
      </c>
      <c r="F23" s="36">
        <v>1</v>
      </c>
      <c r="G23" s="103">
        <v>150000</v>
      </c>
      <c r="H23" s="37">
        <f t="shared" si="0"/>
        <v>10500000</v>
      </c>
      <c r="I23" s="102"/>
      <c r="J23" s="39"/>
    </row>
    <row r="24" spans="1:10" ht="33" customHeight="1" x14ac:dyDescent="0.25">
      <c r="A24" s="23">
        <v>7</v>
      </c>
      <c r="B24" s="17" t="s">
        <v>27</v>
      </c>
      <c r="C24" s="94" t="s">
        <v>86</v>
      </c>
      <c r="D24" s="17" t="s">
        <v>18</v>
      </c>
      <c r="E24" s="40">
        <v>70</v>
      </c>
      <c r="F24" s="40">
        <v>1</v>
      </c>
      <c r="G24" s="104">
        <v>150000</v>
      </c>
      <c r="H24" s="19">
        <f t="shared" si="0"/>
        <v>10500000</v>
      </c>
      <c r="I24" s="91"/>
      <c r="J24" s="41"/>
    </row>
    <row r="25" spans="1:10" ht="24" customHeight="1" x14ac:dyDescent="0.25">
      <c r="A25" s="176" t="s">
        <v>28</v>
      </c>
      <c r="B25" s="177"/>
      <c r="C25" s="177"/>
      <c r="D25" s="177"/>
      <c r="E25" s="160"/>
      <c r="F25" s="30"/>
      <c r="G25" s="161">
        <f>SUM(H26:H28)</f>
        <v>13800000</v>
      </c>
      <c r="H25" s="160"/>
      <c r="I25" s="30"/>
      <c r="J25" s="30"/>
    </row>
    <row r="26" spans="1:10" ht="21" customHeight="1" thickBot="1" x14ac:dyDescent="0.3">
      <c r="A26" s="23">
        <v>1</v>
      </c>
      <c r="B26" s="175" t="s">
        <v>29</v>
      </c>
      <c r="C26" s="145"/>
      <c r="D26" s="14" t="s">
        <v>30</v>
      </c>
      <c r="E26" s="14">
        <v>2</v>
      </c>
      <c r="F26" s="14">
        <v>4</v>
      </c>
      <c r="G26" s="13">
        <v>800000</v>
      </c>
      <c r="H26" s="13">
        <f t="shared" ref="H26:H28" si="1">G26*F26*E26</f>
        <v>6400000</v>
      </c>
      <c r="I26" s="162" t="s">
        <v>31</v>
      </c>
      <c r="J26" s="163"/>
    </row>
    <row r="27" spans="1:10" ht="21" customHeight="1" thickBot="1" x14ac:dyDescent="0.3">
      <c r="A27" s="23">
        <v>2</v>
      </c>
      <c r="B27" s="170" t="s">
        <v>121</v>
      </c>
      <c r="C27" s="171"/>
      <c r="D27" s="95" t="s">
        <v>88</v>
      </c>
      <c r="E27" s="95">
        <v>1</v>
      </c>
      <c r="F27" s="95">
        <v>2</v>
      </c>
      <c r="G27" s="96">
        <v>2500000</v>
      </c>
      <c r="H27" s="96">
        <f t="shared" si="1"/>
        <v>5000000</v>
      </c>
      <c r="I27" s="164"/>
      <c r="J27" s="165"/>
    </row>
    <row r="28" spans="1:10" ht="24" customHeight="1" x14ac:dyDescent="0.25">
      <c r="A28" s="23">
        <v>3</v>
      </c>
      <c r="B28" s="170" t="s">
        <v>32</v>
      </c>
      <c r="C28" s="135"/>
      <c r="D28" s="36" t="s">
        <v>33</v>
      </c>
      <c r="E28" s="36">
        <v>2</v>
      </c>
      <c r="F28" s="36">
        <v>3</v>
      </c>
      <c r="G28" s="37">
        <v>400000</v>
      </c>
      <c r="H28" s="37">
        <f t="shared" si="1"/>
        <v>2400000</v>
      </c>
      <c r="I28" s="166"/>
      <c r="J28" s="167"/>
    </row>
    <row r="29" spans="1:10" ht="15.75" customHeight="1" x14ac:dyDescent="0.25">
      <c r="A29" s="209" t="s">
        <v>34</v>
      </c>
      <c r="B29" s="197"/>
      <c r="C29" s="197"/>
      <c r="D29" s="197"/>
      <c r="E29" s="198"/>
      <c r="F29" s="97"/>
      <c r="G29" s="98"/>
      <c r="H29" s="98">
        <f>SUM(H30:H38)</f>
        <v>31325000</v>
      </c>
      <c r="I29" s="97"/>
      <c r="J29" s="97"/>
    </row>
    <row r="30" spans="1:10" ht="33" customHeight="1" x14ac:dyDescent="0.25">
      <c r="A30" s="36">
        <v>1</v>
      </c>
      <c r="B30" s="36" t="s">
        <v>35</v>
      </c>
      <c r="C30" s="36" t="s">
        <v>36</v>
      </c>
      <c r="D30" s="36" t="s">
        <v>37</v>
      </c>
      <c r="E30" s="36">
        <f>70*2*3/24</f>
        <v>17.5</v>
      </c>
      <c r="F30" s="36">
        <v>1</v>
      </c>
      <c r="G30" s="37">
        <v>150000</v>
      </c>
      <c r="H30" s="37">
        <f t="shared" ref="H30:H38" si="2">G30*F30*E30</f>
        <v>2625000</v>
      </c>
      <c r="I30" s="170" t="s">
        <v>38</v>
      </c>
      <c r="J30" s="135"/>
    </row>
    <row r="31" spans="1:10" ht="27" customHeight="1" x14ac:dyDescent="0.25">
      <c r="A31" s="36">
        <v>2</v>
      </c>
      <c r="B31" s="170" t="s">
        <v>126</v>
      </c>
      <c r="C31" s="171"/>
      <c r="D31" s="36" t="s">
        <v>88</v>
      </c>
      <c r="E31" s="36">
        <v>1</v>
      </c>
      <c r="F31" s="36">
        <v>1</v>
      </c>
      <c r="G31" s="37">
        <v>8000000</v>
      </c>
      <c r="H31" s="37">
        <f t="shared" si="2"/>
        <v>8000000</v>
      </c>
      <c r="I31" s="42"/>
      <c r="J31" s="5"/>
    </row>
    <row r="32" spans="1:10" ht="31.5" customHeight="1" x14ac:dyDescent="0.25">
      <c r="A32" s="36">
        <v>3</v>
      </c>
      <c r="B32" s="210" t="s">
        <v>2</v>
      </c>
      <c r="C32" s="92" t="s">
        <v>125</v>
      </c>
      <c r="D32" s="34" t="s">
        <v>39</v>
      </c>
      <c r="E32" s="36">
        <v>70</v>
      </c>
      <c r="F32" s="36">
        <v>1</v>
      </c>
      <c r="G32" s="37">
        <v>120000</v>
      </c>
      <c r="H32" s="37">
        <f t="shared" si="2"/>
        <v>8400000</v>
      </c>
      <c r="I32" s="156"/>
      <c r="J32" s="135"/>
    </row>
    <row r="33" spans="1:12" ht="31.5" customHeight="1" x14ac:dyDescent="0.25">
      <c r="A33" s="36">
        <v>4</v>
      </c>
      <c r="B33" s="155"/>
      <c r="C33" s="102" t="s">
        <v>87</v>
      </c>
      <c r="D33" s="34" t="s">
        <v>30</v>
      </c>
      <c r="E33" s="36">
        <v>70</v>
      </c>
      <c r="F33" s="36">
        <v>1</v>
      </c>
      <c r="G33" s="37">
        <v>120000</v>
      </c>
      <c r="H33" s="37">
        <f t="shared" si="2"/>
        <v>8400000</v>
      </c>
      <c r="I33" s="34"/>
      <c r="J33" s="105"/>
    </row>
    <row r="34" spans="1:12" ht="30" customHeight="1" x14ac:dyDescent="0.25">
      <c r="A34" s="36">
        <v>5</v>
      </c>
      <c r="B34" s="153"/>
      <c r="C34" s="34" t="s">
        <v>40</v>
      </c>
      <c r="D34" s="34" t="s">
        <v>13</v>
      </c>
      <c r="E34" s="36">
        <v>2</v>
      </c>
      <c r="F34" s="36">
        <v>1</v>
      </c>
      <c r="G34" s="37">
        <v>200000</v>
      </c>
      <c r="H34" s="37">
        <f t="shared" si="2"/>
        <v>400000</v>
      </c>
      <c r="I34" s="156" t="s">
        <v>41</v>
      </c>
      <c r="J34" s="135"/>
    </row>
    <row r="35" spans="1:12" ht="23.25" customHeight="1" x14ac:dyDescent="0.25">
      <c r="A35" s="36">
        <v>6</v>
      </c>
      <c r="B35" s="156" t="s">
        <v>42</v>
      </c>
      <c r="C35" s="135"/>
      <c r="D35" s="34" t="s">
        <v>43</v>
      </c>
      <c r="E35" s="36">
        <v>70</v>
      </c>
      <c r="F35" s="36">
        <v>1</v>
      </c>
      <c r="G35" s="37">
        <v>20000</v>
      </c>
      <c r="H35" s="37">
        <f t="shared" si="2"/>
        <v>1400000</v>
      </c>
      <c r="I35" s="156"/>
      <c r="J35" s="135"/>
    </row>
    <row r="36" spans="1:12" ht="19.5" customHeight="1" x14ac:dyDescent="0.25">
      <c r="A36" s="36">
        <v>7</v>
      </c>
      <c r="B36" s="156" t="s">
        <v>44</v>
      </c>
      <c r="C36" s="135"/>
      <c r="D36" s="34" t="s">
        <v>45</v>
      </c>
      <c r="E36" s="36">
        <v>0</v>
      </c>
      <c r="F36" s="36">
        <v>1</v>
      </c>
      <c r="G36" s="37">
        <v>2000</v>
      </c>
      <c r="H36" s="37">
        <f t="shared" si="2"/>
        <v>0</v>
      </c>
      <c r="I36" s="156"/>
      <c r="J36" s="135"/>
    </row>
    <row r="37" spans="1:12" ht="35.25" customHeight="1" x14ac:dyDescent="0.25">
      <c r="A37" s="36">
        <v>8</v>
      </c>
      <c r="B37" s="34" t="s">
        <v>46</v>
      </c>
      <c r="C37" s="34" t="s">
        <v>47</v>
      </c>
      <c r="D37" s="34" t="s">
        <v>45</v>
      </c>
      <c r="E37" s="36">
        <v>0</v>
      </c>
      <c r="F37" s="36">
        <v>1</v>
      </c>
      <c r="G37" s="37">
        <v>300000</v>
      </c>
      <c r="H37" s="37">
        <f t="shared" si="2"/>
        <v>0</v>
      </c>
      <c r="I37" s="34" t="s">
        <v>48</v>
      </c>
      <c r="J37" s="34"/>
    </row>
    <row r="38" spans="1:12" ht="36" customHeight="1" x14ac:dyDescent="0.25">
      <c r="A38" s="36">
        <v>9</v>
      </c>
      <c r="B38" s="34" t="s">
        <v>49</v>
      </c>
      <c r="C38" s="34" t="s">
        <v>50</v>
      </c>
      <c r="D38" s="34" t="s">
        <v>51</v>
      </c>
      <c r="E38" s="36">
        <v>70</v>
      </c>
      <c r="F38" s="36">
        <v>3</v>
      </c>
      <c r="G38" s="37">
        <v>10000</v>
      </c>
      <c r="H38" s="37">
        <f t="shared" si="2"/>
        <v>2100000</v>
      </c>
      <c r="I38" s="34"/>
      <c r="J38" s="34"/>
    </row>
    <row r="39" spans="1:12" ht="21" customHeight="1" x14ac:dyDescent="0.25">
      <c r="A39" s="216" t="s">
        <v>52</v>
      </c>
      <c r="B39" s="137"/>
      <c r="C39" s="137"/>
      <c r="D39" s="137"/>
      <c r="E39" s="137"/>
      <c r="F39" s="137"/>
      <c r="G39" s="135"/>
      <c r="H39" s="217">
        <f>H29+G25+G17+G15+G12</f>
        <v>231975000</v>
      </c>
      <c r="I39" s="137"/>
      <c r="J39" s="135"/>
    </row>
    <row r="40" spans="1:12" ht="21" customHeight="1" x14ac:dyDescent="0.25">
      <c r="A40" s="200" t="s">
        <v>53</v>
      </c>
      <c r="B40" s="137"/>
      <c r="C40" s="137"/>
      <c r="D40" s="137"/>
      <c r="E40" s="137"/>
      <c r="F40" s="135"/>
      <c r="G40" s="99">
        <v>0.08</v>
      </c>
      <c r="H40" s="201">
        <f>H39*G40</f>
        <v>18558000</v>
      </c>
      <c r="I40" s="137"/>
      <c r="J40" s="135"/>
      <c r="L40" s="87"/>
    </row>
    <row r="41" spans="1:12" ht="24" customHeight="1" x14ac:dyDescent="0.25">
      <c r="A41" s="168" t="s">
        <v>122</v>
      </c>
      <c r="B41" s="169"/>
      <c r="C41" s="169"/>
      <c r="D41" s="169"/>
      <c r="E41" s="169"/>
      <c r="F41" s="219"/>
      <c r="G41" s="126">
        <v>0.08</v>
      </c>
      <c r="H41" s="130">
        <f>(H39+H40)*G41</f>
        <v>20042640</v>
      </c>
      <c r="I41" s="131"/>
      <c r="J41" s="132"/>
    </row>
    <row r="42" spans="1:12" ht="21" customHeight="1" x14ac:dyDescent="0.25">
      <c r="A42" s="200" t="s">
        <v>54</v>
      </c>
      <c r="B42" s="137"/>
      <c r="C42" s="137"/>
      <c r="D42" s="137"/>
      <c r="E42" s="137"/>
      <c r="F42" s="137"/>
      <c r="G42" s="135"/>
      <c r="H42" s="201">
        <f>H39+H40+H41</f>
        <v>270575640</v>
      </c>
      <c r="I42" s="137"/>
      <c r="J42" s="135"/>
    </row>
    <row r="43" spans="1:12" ht="37.5" customHeight="1" x14ac:dyDescent="0.25">
      <c r="A43" s="195" t="s">
        <v>55</v>
      </c>
      <c r="B43" s="137"/>
      <c r="C43" s="137"/>
      <c r="D43" s="137"/>
      <c r="E43" s="137"/>
      <c r="F43" s="137"/>
      <c r="G43" s="135"/>
      <c r="H43" s="218">
        <f>H42/C9</f>
        <v>3865366.2857142859</v>
      </c>
      <c r="I43" s="137"/>
      <c r="J43" s="135"/>
    </row>
    <row r="44" spans="1:12" ht="21" customHeight="1" x14ac:dyDescent="0.25">
      <c r="A44" s="4"/>
      <c r="B44" s="2"/>
      <c r="C44" s="2"/>
      <c r="D44" s="2"/>
      <c r="E44" s="48"/>
      <c r="F44" s="48"/>
      <c r="G44" s="49"/>
      <c r="H44" s="49"/>
      <c r="I44" s="50"/>
      <c r="J44" s="50"/>
    </row>
    <row r="45" spans="1:12" ht="21" customHeight="1" x14ac:dyDescent="0.25">
      <c r="A45" s="4"/>
      <c r="B45" s="2"/>
      <c r="C45" s="2"/>
      <c r="D45" s="2"/>
      <c r="E45" s="48"/>
      <c r="F45" s="48"/>
      <c r="G45" s="49"/>
      <c r="H45" s="49"/>
      <c r="I45" s="50"/>
      <c r="J45" s="50"/>
    </row>
    <row r="46" spans="1:12" ht="21" customHeight="1" x14ac:dyDescent="0.25">
      <c r="A46" s="4"/>
      <c r="B46" s="2"/>
      <c r="C46" s="2"/>
      <c r="D46" s="2"/>
      <c r="E46" s="48"/>
      <c r="F46" s="48"/>
      <c r="G46" s="49"/>
      <c r="H46" s="49"/>
      <c r="I46" s="50"/>
      <c r="J46" s="50"/>
    </row>
    <row r="47" spans="1:12" ht="21" customHeight="1" x14ac:dyDescent="0.25">
      <c r="A47" s="4"/>
      <c r="B47" s="2"/>
      <c r="C47" s="2"/>
      <c r="D47" s="2"/>
      <c r="E47" s="48"/>
      <c r="F47" s="48"/>
      <c r="G47" s="49"/>
      <c r="H47" s="49"/>
      <c r="I47" s="50"/>
      <c r="J47" s="50"/>
    </row>
    <row r="48" spans="1:12" ht="21" customHeight="1" x14ac:dyDescent="0.25">
      <c r="A48" s="4"/>
      <c r="B48" s="2"/>
      <c r="C48" s="2"/>
      <c r="D48" s="2"/>
      <c r="E48" s="48"/>
      <c r="F48" s="48"/>
      <c r="G48" s="49"/>
      <c r="H48" s="49"/>
      <c r="I48" s="50"/>
      <c r="J48" s="50"/>
    </row>
    <row r="49" spans="1:10" ht="21" customHeight="1" x14ac:dyDescent="0.25">
      <c r="A49" s="4"/>
      <c r="B49" s="2"/>
      <c r="C49" s="2"/>
      <c r="D49" s="2"/>
      <c r="E49" s="48"/>
      <c r="F49" s="48"/>
      <c r="G49" s="49"/>
      <c r="H49" s="49"/>
      <c r="I49" s="50"/>
      <c r="J49" s="50"/>
    </row>
    <row r="50" spans="1:10" ht="21" customHeight="1" x14ac:dyDescent="0.25">
      <c r="A50" s="4"/>
      <c r="B50" s="2"/>
      <c r="C50" s="2"/>
      <c r="D50" s="2"/>
      <c r="E50" s="48"/>
      <c r="F50" s="48"/>
      <c r="G50" s="49"/>
      <c r="H50" s="49"/>
      <c r="I50" s="50"/>
      <c r="J50" s="50"/>
    </row>
    <row r="51" spans="1:10" ht="21" customHeight="1" x14ac:dyDescent="0.25">
      <c r="A51" s="4"/>
      <c r="B51" s="2"/>
      <c r="C51" s="2"/>
      <c r="D51" s="2"/>
      <c r="E51" s="48"/>
      <c r="F51" s="48"/>
      <c r="G51" s="49"/>
      <c r="H51" s="49"/>
      <c r="I51" s="50"/>
      <c r="J51" s="50"/>
    </row>
    <row r="52" spans="1:10" ht="21" customHeight="1" x14ac:dyDescent="0.25">
      <c r="A52" s="4"/>
      <c r="B52" s="2"/>
      <c r="C52" s="2"/>
      <c r="D52" s="2"/>
      <c r="E52" s="48"/>
      <c r="F52" s="48"/>
      <c r="G52" s="49"/>
      <c r="H52" s="49"/>
      <c r="I52" s="50"/>
      <c r="J52" s="50"/>
    </row>
    <row r="53" spans="1:10" ht="21" customHeight="1" x14ac:dyDescent="0.25">
      <c r="A53" s="4"/>
      <c r="B53" s="2"/>
      <c r="C53" s="2"/>
      <c r="D53" s="2"/>
      <c r="E53" s="48"/>
      <c r="F53" s="48"/>
      <c r="G53" s="49"/>
      <c r="H53" s="49"/>
      <c r="I53" s="50"/>
      <c r="J53" s="50"/>
    </row>
    <row r="54" spans="1:10" ht="21" customHeight="1" x14ac:dyDescent="0.25">
      <c r="A54" s="4"/>
      <c r="B54" s="2"/>
      <c r="C54" s="2"/>
      <c r="D54" s="2"/>
      <c r="E54" s="48"/>
      <c r="F54" s="48"/>
      <c r="G54" s="49"/>
      <c r="H54" s="49"/>
      <c r="I54" s="50"/>
      <c r="J54" s="50"/>
    </row>
    <row r="55" spans="1:10" ht="21" customHeight="1" x14ac:dyDescent="0.25">
      <c r="A55" s="4"/>
      <c r="B55" s="2"/>
      <c r="C55" s="2"/>
      <c r="D55" s="2"/>
      <c r="E55" s="48"/>
      <c r="F55" s="48"/>
      <c r="G55" s="49"/>
      <c r="H55" s="49"/>
      <c r="I55" s="50"/>
      <c r="J55" s="50"/>
    </row>
    <row r="56" spans="1:10" ht="21" customHeight="1" x14ac:dyDescent="0.25">
      <c r="A56" s="4"/>
      <c r="B56" s="2"/>
      <c r="C56" s="2"/>
      <c r="D56" s="2"/>
      <c r="E56" s="48"/>
      <c r="F56" s="48"/>
      <c r="G56" s="49"/>
      <c r="H56" s="49"/>
      <c r="I56" s="50"/>
      <c r="J56" s="50"/>
    </row>
    <row r="57" spans="1:10" ht="21" customHeight="1" x14ac:dyDescent="0.25">
      <c r="A57" s="4"/>
      <c r="B57" s="2"/>
      <c r="C57" s="2"/>
      <c r="D57" s="2"/>
      <c r="E57" s="48"/>
      <c r="F57" s="48"/>
      <c r="G57" s="49"/>
      <c r="H57" s="49"/>
      <c r="I57" s="50"/>
      <c r="J57" s="50"/>
    </row>
    <row r="58" spans="1:10" ht="21" customHeight="1" x14ac:dyDescent="0.25">
      <c r="A58" s="4"/>
      <c r="B58" s="2"/>
      <c r="C58" s="2"/>
      <c r="D58" s="2"/>
      <c r="E58" s="48"/>
      <c r="F58" s="48"/>
      <c r="G58" s="49"/>
      <c r="H58" s="49"/>
      <c r="I58" s="50"/>
      <c r="J58" s="50"/>
    </row>
    <row r="59" spans="1:10" ht="21" customHeight="1" x14ac:dyDescent="0.25">
      <c r="A59" s="4"/>
      <c r="B59" s="2"/>
      <c r="C59" s="2"/>
      <c r="D59" s="2"/>
      <c r="E59" s="48"/>
      <c r="F59" s="48"/>
      <c r="G59" s="49"/>
      <c r="H59" s="49"/>
      <c r="I59" s="50"/>
      <c r="J59" s="50"/>
    </row>
    <row r="60" spans="1:10" ht="21" customHeight="1" x14ac:dyDescent="0.25">
      <c r="A60" s="4"/>
      <c r="B60" s="2"/>
      <c r="C60" s="2"/>
      <c r="D60" s="2"/>
      <c r="E60" s="48"/>
      <c r="F60" s="48"/>
      <c r="G60" s="49"/>
      <c r="H60" s="49"/>
      <c r="I60" s="50"/>
      <c r="J60" s="50"/>
    </row>
    <row r="61" spans="1:10" ht="21" customHeight="1" x14ac:dyDescent="0.25">
      <c r="A61" s="4"/>
      <c r="B61" s="2"/>
      <c r="C61" s="2"/>
      <c r="D61" s="2"/>
      <c r="E61" s="48"/>
      <c r="F61" s="48"/>
      <c r="G61" s="49"/>
      <c r="H61" s="49"/>
      <c r="I61" s="50"/>
      <c r="J61" s="50"/>
    </row>
    <row r="62" spans="1:10" ht="21" customHeight="1" x14ac:dyDescent="0.25">
      <c r="A62" s="4"/>
      <c r="B62" s="2"/>
      <c r="C62" s="2"/>
      <c r="D62" s="2"/>
      <c r="E62" s="48"/>
      <c r="F62" s="48"/>
      <c r="G62" s="49"/>
      <c r="H62" s="49"/>
      <c r="I62" s="50"/>
      <c r="J62" s="50"/>
    </row>
    <row r="63" spans="1:10" ht="21" customHeight="1" x14ac:dyDescent="0.25">
      <c r="A63" s="4"/>
      <c r="B63" s="2"/>
      <c r="C63" s="2"/>
      <c r="D63" s="2"/>
      <c r="E63" s="48"/>
      <c r="F63" s="48"/>
      <c r="G63" s="49"/>
      <c r="H63" s="49"/>
      <c r="I63" s="50"/>
      <c r="J63" s="50"/>
    </row>
    <row r="64" spans="1:10" ht="21" customHeight="1" x14ac:dyDescent="0.25">
      <c r="A64" s="4"/>
      <c r="B64" s="2"/>
      <c r="C64" s="2"/>
      <c r="D64" s="2"/>
      <c r="E64" s="48"/>
      <c r="F64" s="48"/>
      <c r="G64" s="49"/>
      <c r="H64" s="49"/>
      <c r="I64" s="50"/>
      <c r="J64" s="50"/>
    </row>
    <row r="65" spans="1:10" ht="21" customHeight="1" x14ac:dyDescent="0.25">
      <c r="A65" s="4"/>
      <c r="B65" s="2"/>
      <c r="C65" s="2"/>
      <c r="D65" s="2"/>
      <c r="E65" s="48"/>
      <c r="F65" s="48"/>
      <c r="G65" s="49"/>
      <c r="H65" s="49"/>
      <c r="I65" s="50"/>
      <c r="J65" s="50"/>
    </row>
    <row r="66" spans="1:10" ht="21" customHeight="1" x14ac:dyDescent="0.25">
      <c r="A66" s="4"/>
      <c r="B66" s="2"/>
      <c r="C66" s="2"/>
      <c r="D66" s="2"/>
      <c r="E66" s="48"/>
      <c r="F66" s="48"/>
      <c r="G66" s="49"/>
      <c r="H66" s="49"/>
      <c r="I66" s="50"/>
      <c r="J66" s="50"/>
    </row>
    <row r="67" spans="1:10" ht="21" customHeight="1" x14ac:dyDescent="0.25">
      <c r="A67" s="4"/>
      <c r="B67" s="2"/>
      <c r="C67" s="2"/>
      <c r="D67" s="2"/>
      <c r="E67" s="48"/>
      <c r="F67" s="48"/>
      <c r="G67" s="49"/>
      <c r="H67" s="49"/>
      <c r="I67" s="50"/>
      <c r="J67" s="50"/>
    </row>
    <row r="68" spans="1:10" ht="21" customHeight="1" x14ac:dyDescent="0.25">
      <c r="A68" s="4"/>
      <c r="B68" s="2"/>
      <c r="C68" s="2"/>
      <c r="D68" s="2"/>
      <c r="E68" s="48"/>
      <c r="F68" s="48"/>
      <c r="G68" s="49"/>
      <c r="H68" s="49"/>
      <c r="I68" s="50"/>
      <c r="J68" s="50"/>
    </row>
    <row r="69" spans="1:10" ht="21" customHeight="1" x14ac:dyDescent="0.25">
      <c r="A69" s="4"/>
      <c r="B69" s="2"/>
      <c r="C69" s="2"/>
      <c r="D69" s="2"/>
      <c r="E69" s="48"/>
      <c r="F69" s="48"/>
      <c r="G69" s="49"/>
      <c r="H69" s="49"/>
      <c r="I69" s="50"/>
      <c r="J69" s="50"/>
    </row>
    <row r="70" spans="1:10" ht="21" customHeight="1" x14ac:dyDescent="0.25">
      <c r="A70" s="4"/>
      <c r="B70" s="2"/>
      <c r="C70" s="2"/>
      <c r="D70" s="2"/>
      <c r="E70" s="48"/>
      <c r="F70" s="48"/>
      <c r="G70" s="49"/>
      <c r="H70" s="49"/>
      <c r="I70" s="50"/>
      <c r="J70" s="50"/>
    </row>
    <row r="71" spans="1:10" ht="21" customHeight="1" x14ac:dyDescent="0.25">
      <c r="A71" s="4"/>
      <c r="B71" s="2"/>
      <c r="C71" s="2"/>
      <c r="D71" s="2"/>
      <c r="E71" s="48"/>
      <c r="F71" s="48"/>
      <c r="G71" s="49"/>
      <c r="H71" s="49"/>
      <c r="I71" s="50"/>
      <c r="J71" s="50"/>
    </row>
    <row r="72" spans="1:10" ht="21" customHeight="1" x14ac:dyDescent="0.25">
      <c r="A72" s="4"/>
      <c r="B72" s="2"/>
      <c r="C72" s="2"/>
      <c r="D72" s="2"/>
      <c r="E72" s="48"/>
      <c r="F72" s="48"/>
      <c r="G72" s="49"/>
      <c r="H72" s="49"/>
      <c r="I72" s="50"/>
      <c r="J72" s="50"/>
    </row>
    <row r="73" spans="1:10" ht="21" customHeight="1" x14ac:dyDescent="0.25">
      <c r="A73" s="4"/>
      <c r="B73" s="2"/>
      <c r="C73" s="2"/>
      <c r="D73" s="2"/>
      <c r="E73" s="48"/>
      <c r="F73" s="48"/>
      <c r="G73" s="49"/>
      <c r="H73" s="49"/>
      <c r="I73" s="50"/>
      <c r="J73" s="50"/>
    </row>
    <row r="74" spans="1:10" ht="21" customHeight="1" x14ac:dyDescent="0.25">
      <c r="A74" s="4"/>
      <c r="B74" s="2"/>
      <c r="C74" s="2"/>
      <c r="D74" s="2"/>
      <c r="E74" s="48"/>
      <c r="F74" s="48"/>
      <c r="G74" s="49"/>
      <c r="H74" s="49"/>
      <c r="I74" s="50"/>
      <c r="J74" s="50"/>
    </row>
    <row r="75" spans="1:10" ht="21" customHeight="1" x14ac:dyDescent="0.25">
      <c r="A75" s="4"/>
      <c r="B75" s="2"/>
      <c r="C75" s="2"/>
      <c r="D75" s="2"/>
      <c r="E75" s="48"/>
      <c r="F75" s="48"/>
      <c r="G75" s="49"/>
      <c r="H75" s="49"/>
      <c r="I75" s="50"/>
      <c r="J75" s="50"/>
    </row>
    <row r="76" spans="1:10" ht="21" customHeight="1" x14ac:dyDescent="0.25">
      <c r="A76" s="4"/>
      <c r="B76" s="2"/>
      <c r="C76" s="2"/>
      <c r="D76" s="2"/>
      <c r="E76" s="48"/>
      <c r="F76" s="48"/>
      <c r="G76" s="49"/>
      <c r="H76" s="49"/>
      <c r="I76" s="50"/>
      <c r="J76" s="50"/>
    </row>
    <row r="77" spans="1:10" ht="21" customHeight="1" x14ac:dyDescent="0.25">
      <c r="A77" s="4"/>
      <c r="B77" s="2"/>
      <c r="C77" s="2"/>
      <c r="D77" s="2"/>
      <c r="E77" s="48"/>
      <c r="F77" s="48"/>
      <c r="G77" s="49"/>
      <c r="H77" s="49"/>
      <c r="I77" s="50"/>
      <c r="J77" s="50"/>
    </row>
    <row r="78" spans="1:10" ht="21" customHeight="1" x14ac:dyDescent="0.25">
      <c r="A78" s="4"/>
      <c r="B78" s="2"/>
      <c r="C78" s="2"/>
      <c r="D78" s="2"/>
      <c r="E78" s="48"/>
      <c r="F78" s="48"/>
      <c r="G78" s="49"/>
      <c r="H78" s="49"/>
      <c r="I78" s="50"/>
      <c r="J78" s="50"/>
    </row>
    <row r="79" spans="1:10" ht="21" customHeight="1" x14ac:dyDescent="0.25">
      <c r="A79" s="4"/>
      <c r="B79" s="2"/>
      <c r="C79" s="2"/>
      <c r="D79" s="2"/>
      <c r="E79" s="48"/>
      <c r="F79" s="48"/>
      <c r="G79" s="49"/>
      <c r="H79" s="49"/>
      <c r="I79" s="50"/>
      <c r="J79" s="50"/>
    </row>
    <row r="80" spans="1:10" ht="21" customHeight="1" x14ac:dyDescent="0.25">
      <c r="A80" s="4"/>
      <c r="B80" s="2"/>
      <c r="C80" s="2"/>
      <c r="D80" s="2"/>
      <c r="E80" s="48"/>
      <c r="F80" s="48"/>
      <c r="G80" s="49"/>
      <c r="H80" s="49"/>
      <c r="I80" s="50"/>
      <c r="J80" s="50"/>
    </row>
    <row r="81" spans="1:10" ht="21" customHeight="1" x14ac:dyDescent="0.25">
      <c r="A81" s="4"/>
      <c r="B81" s="2"/>
      <c r="C81" s="2"/>
      <c r="D81" s="2"/>
      <c r="E81" s="48"/>
      <c r="F81" s="48"/>
      <c r="G81" s="49"/>
      <c r="H81" s="49"/>
      <c r="I81" s="50"/>
      <c r="J81" s="50"/>
    </row>
    <row r="82" spans="1:10" ht="21" customHeight="1" x14ac:dyDescent="0.25">
      <c r="A82" s="4"/>
      <c r="B82" s="2"/>
      <c r="C82" s="2"/>
      <c r="D82" s="2"/>
      <c r="E82" s="48"/>
      <c r="F82" s="48"/>
      <c r="G82" s="49"/>
      <c r="H82" s="49"/>
      <c r="I82" s="50"/>
      <c r="J82" s="50"/>
    </row>
    <row r="83" spans="1:10" ht="21" customHeight="1" x14ac:dyDescent="0.25">
      <c r="A83" s="4"/>
      <c r="B83" s="2"/>
      <c r="C83" s="2"/>
      <c r="D83" s="2"/>
      <c r="E83" s="48"/>
      <c r="F83" s="48"/>
      <c r="G83" s="49"/>
      <c r="H83" s="49"/>
      <c r="I83" s="50"/>
      <c r="J83" s="50"/>
    </row>
    <row r="84" spans="1:10" ht="21" customHeight="1" x14ac:dyDescent="0.25">
      <c r="A84" s="4"/>
      <c r="B84" s="2"/>
      <c r="C84" s="2"/>
      <c r="D84" s="2"/>
      <c r="E84" s="48"/>
      <c r="F84" s="48"/>
      <c r="G84" s="49"/>
      <c r="H84" s="49"/>
      <c r="I84" s="50"/>
      <c r="J84" s="50"/>
    </row>
    <row r="85" spans="1:10" ht="21" customHeight="1" x14ac:dyDescent="0.25">
      <c r="A85" s="4"/>
      <c r="B85" s="2"/>
      <c r="C85" s="2"/>
      <c r="D85" s="2"/>
      <c r="E85" s="48"/>
      <c r="F85" s="48"/>
      <c r="G85" s="49"/>
      <c r="H85" s="49"/>
      <c r="I85" s="50"/>
      <c r="J85" s="50"/>
    </row>
    <row r="86" spans="1:10" ht="21" customHeight="1" x14ac:dyDescent="0.25">
      <c r="A86" s="4"/>
      <c r="B86" s="2"/>
      <c r="C86" s="2"/>
      <c r="D86" s="2"/>
      <c r="E86" s="48"/>
      <c r="F86" s="48"/>
      <c r="G86" s="49"/>
      <c r="H86" s="49"/>
      <c r="I86" s="50"/>
      <c r="J86" s="50"/>
    </row>
    <row r="87" spans="1:10" ht="21" customHeight="1" x14ac:dyDescent="0.25">
      <c r="A87" s="4"/>
      <c r="B87" s="2"/>
      <c r="C87" s="2"/>
      <c r="D87" s="2"/>
      <c r="E87" s="48"/>
      <c r="F87" s="48"/>
      <c r="G87" s="49"/>
      <c r="H87" s="49"/>
      <c r="I87" s="50"/>
      <c r="J87" s="50"/>
    </row>
    <row r="88" spans="1:10" ht="21" customHeight="1" x14ac:dyDescent="0.25">
      <c r="A88" s="4"/>
      <c r="B88" s="2"/>
      <c r="C88" s="2"/>
      <c r="D88" s="2"/>
      <c r="E88" s="48"/>
      <c r="F88" s="48"/>
      <c r="G88" s="49"/>
      <c r="H88" s="49"/>
      <c r="I88" s="50"/>
      <c r="J88" s="50"/>
    </row>
    <row r="89" spans="1:10" ht="21" customHeight="1" x14ac:dyDescent="0.25">
      <c r="A89" s="4"/>
      <c r="B89" s="2"/>
      <c r="C89" s="2"/>
      <c r="D89" s="2"/>
      <c r="E89" s="48"/>
      <c r="F89" s="48"/>
      <c r="G89" s="49"/>
      <c r="H89" s="49"/>
      <c r="I89" s="50"/>
      <c r="J89" s="50"/>
    </row>
    <row r="90" spans="1:10" ht="21" customHeight="1" x14ac:dyDescent="0.25">
      <c r="A90" s="4"/>
      <c r="B90" s="2"/>
      <c r="C90" s="2"/>
      <c r="D90" s="2"/>
      <c r="E90" s="48"/>
      <c r="F90" s="48"/>
      <c r="G90" s="49"/>
      <c r="H90" s="49"/>
      <c r="I90" s="50"/>
      <c r="J90" s="50"/>
    </row>
    <row r="91" spans="1:10" ht="21" customHeight="1" x14ac:dyDescent="0.25">
      <c r="A91" s="4"/>
      <c r="B91" s="2"/>
      <c r="C91" s="2"/>
      <c r="D91" s="2"/>
      <c r="E91" s="48"/>
      <c r="F91" s="48"/>
      <c r="G91" s="49"/>
      <c r="H91" s="49"/>
      <c r="I91" s="50"/>
      <c r="J91" s="50"/>
    </row>
    <row r="92" spans="1:10" ht="21" customHeight="1" x14ac:dyDescent="0.25">
      <c r="A92" s="4"/>
      <c r="B92" s="2"/>
      <c r="C92" s="2"/>
      <c r="D92" s="2"/>
      <c r="E92" s="48"/>
      <c r="F92" s="48"/>
      <c r="G92" s="49"/>
      <c r="H92" s="49"/>
      <c r="I92" s="50"/>
      <c r="J92" s="50"/>
    </row>
    <row r="93" spans="1:10" ht="21" customHeight="1" x14ac:dyDescent="0.25">
      <c r="A93" s="4"/>
      <c r="B93" s="2"/>
      <c r="C93" s="2"/>
      <c r="D93" s="2"/>
      <c r="E93" s="48"/>
      <c r="F93" s="48"/>
      <c r="G93" s="49"/>
      <c r="H93" s="49"/>
      <c r="I93" s="50"/>
      <c r="J93" s="50"/>
    </row>
    <row r="94" spans="1:10" ht="21" customHeight="1" x14ac:dyDescent="0.25">
      <c r="A94" s="4"/>
      <c r="B94" s="2"/>
      <c r="C94" s="2"/>
      <c r="D94" s="2"/>
      <c r="E94" s="48"/>
      <c r="F94" s="48"/>
      <c r="G94" s="49"/>
      <c r="H94" s="49"/>
      <c r="I94" s="50"/>
      <c r="J94" s="50"/>
    </row>
    <row r="95" spans="1:10" ht="21" customHeight="1" x14ac:dyDescent="0.25">
      <c r="A95" s="4"/>
      <c r="B95" s="2"/>
      <c r="C95" s="2"/>
      <c r="D95" s="2"/>
      <c r="E95" s="48"/>
      <c r="F95" s="48"/>
      <c r="G95" s="49"/>
      <c r="H95" s="49"/>
      <c r="I95" s="50"/>
      <c r="J95" s="50"/>
    </row>
    <row r="96" spans="1:10" ht="21" customHeight="1" x14ac:dyDescent="0.25">
      <c r="A96" s="4"/>
      <c r="B96" s="2"/>
      <c r="C96" s="2"/>
      <c r="D96" s="2"/>
      <c r="E96" s="48"/>
      <c r="F96" s="48"/>
      <c r="G96" s="49"/>
      <c r="H96" s="49"/>
      <c r="I96" s="50"/>
      <c r="J96" s="50"/>
    </row>
    <row r="97" spans="1:10" ht="21" customHeight="1" x14ac:dyDescent="0.25">
      <c r="A97" s="4"/>
      <c r="B97" s="2"/>
      <c r="C97" s="2"/>
      <c r="D97" s="2"/>
      <c r="E97" s="48"/>
      <c r="F97" s="48"/>
      <c r="G97" s="49"/>
      <c r="H97" s="49"/>
      <c r="I97" s="50"/>
      <c r="J97" s="50"/>
    </row>
    <row r="98" spans="1:10" ht="21" customHeight="1" x14ac:dyDescent="0.25">
      <c r="A98" s="4"/>
      <c r="B98" s="2"/>
      <c r="C98" s="2"/>
      <c r="D98" s="2"/>
      <c r="E98" s="48"/>
      <c r="F98" s="48"/>
      <c r="G98" s="49"/>
      <c r="H98" s="49"/>
      <c r="I98" s="50"/>
      <c r="J98" s="50"/>
    </row>
    <row r="99" spans="1:10" ht="21" customHeight="1" x14ac:dyDescent="0.25">
      <c r="A99" s="4"/>
      <c r="B99" s="2"/>
      <c r="C99" s="2"/>
      <c r="D99" s="2"/>
      <c r="E99" s="48"/>
      <c r="F99" s="48"/>
      <c r="G99" s="49"/>
      <c r="H99" s="49"/>
      <c r="I99" s="50"/>
      <c r="J99" s="50"/>
    </row>
    <row r="100" spans="1:10" ht="21" customHeight="1" x14ac:dyDescent="0.25">
      <c r="A100" s="4"/>
      <c r="B100" s="2"/>
      <c r="C100" s="2"/>
      <c r="D100" s="2"/>
      <c r="E100" s="48"/>
      <c r="F100" s="48"/>
      <c r="G100" s="49"/>
      <c r="H100" s="49"/>
      <c r="I100" s="50"/>
      <c r="J100" s="50"/>
    </row>
    <row r="101" spans="1:10" ht="21" customHeight="1" x14ac:dyDescent="0.25">
      <c r="A101" s="4"/>
      <c r="B101" s="2"/>
      <c r="C101" s="2"/>
      <c r="D101" s="2"/>
      <c r="E101" s="48"/>
      <c r="F101" s="48"/>
      <c r="G101" s="49"/>
      <c r="H101" s="49"/>
      <c r="I101" s="50"/>
      <c r="J101" s="50"/>
    </row>
    <row r="102" spans="1:10" ht="21" customHeight="1" x14ac:dyDescent="0.25">
      <c r="A102" s="4"/>
      <c r="B102" s="2"/>
      <c r="C102" s="2"/>
      <c r="D102" s="2"/>
      <c r="E102" s="48"/>
      <c r="F102" s="48"/>
      <c r="G102" s="49"/>
      <c r="H102" s="49"/>
      <c r="I102" s="50"/>
      <c r="J102" s="50"/>
    </row>
    <row r="103" spans="1:10" ht="21" customHeight="1" x14ac:dyDescent="0.25">
      <c r="A103" s="4"/>
      <c r="B103" s="2"/>
      <c r="C103" s="2"/>
      <c r="D103" s="2"/>
      <c r="E103" s="48"/>
      <c r="F103" s="48"/>
      <c r="G103" s="49"/>
      <c r="H103" s="49"/>
      <c r="I103" s="50"/>
      <c r="J103" s="50"/>
    </row>
    <row r="104" spans="1:10" ht="21" customHeight="1" x14ac:dyDescent="0.25">
      <c r="A104" s="4"/>
      <c r="B104" s="2"/>
      <c r="C104" s="2"/>
      <c r="D104" s="2"/>
      <c r="E104" s="48"/>
      <c r="F104" s="48"/>
      <c r="G104" s="49"/>
      <c r="H104" s="49"/>
      <c r="I104" s="50"/>
      <c r="J104" s="50"/>
    </row>
    <row r="105" spans="1:10" ht="21" customHeight="1" x14ac:dyDescent="0.25">
      <c r="A105" s="4"/>
      <c r="B105" s="2"/>
      <c r="C105" s="2"/>
      <c r="D105" s="2"/>
      <c r="E105" s="48"/>
      <c r="F105" s="48"/>
      <c r="G105" s="49"/>
      <c r="H105" s="49"/>
      <c r="I105" s="50"/>
      <c r="J105" s="50"/>
    </row>
    <row r="106" spans="1:10" ht="15.75" customHeight="1" x14ac:dyDescent="0.25">
      <c r="A106" s="1"/>
      <c r="B106" s="1"/>
      <c r="C106" s="2"/>
      <c r="D106" s="1"/>
      <c r="E106" s="1"/>
      <c r="F106" s="1"/>
      <c r="G106" s="7"/>
      <c r="H106" s="7"/>
      <c r="I106" s="1"/>
      <c r="J106" s="1"/>
    </row>
    <row r="107" spans="1:10" ht="15.75" customHeight="1" x14ac:dyDescent="0.25">
      <c r="A107" s="1"/>
      <c r="B107" s="1"/>
      <c r="C107" s="2"/>
      <c r="D107" s="1"/>
      <c r="E107" s="1"/>
      <c r="F107" s="1"/>
      <c r="G107" s="7"/>
      <c r="H107" s="7"/>
      <c r="I107" s="1"/>
      <c r="J107" s="1"/>
    </row>
    <row r="108" spans="1:10" ht="15.75" customHeight="1" x14ac:dyDescent="0.25">
      <c r="A108" s="1"/>
      <c r="B108" s="1"/>
      <c r="C108" s="2"/>
      <c r="D108" s="1"/>
      <c r="E108" s="1"/>
      <c r="F108" s="1"/>
      <c r="G108" s="7"/>
      <c r="H108" s="7"/>
      <c r="I108" s="1"/>
      <c r="J108" s="1"/>
    </row>
    <row r="109" spans="1:10" ht="15.75" customHeight="1" x14ac:dyDescent="0.25">
      <c r="A109" s="1"/>
      <c r="B109" s="1"/>
      <c r="C109" s="2"/>
      <c r="D109" s="1"/>
      <c r="E109" s="1"/>
      <c r="F109" s="1"/>
      <c r="G109" s="7"/>
      <c r="H109" s="7"/>
      <c r="I109" s="1"/>
      <c r="J109" s="1"/>
    </row>
    <row r="110" spans="1:10" ht="15.75" customHeight="1" x14ac:dyDescent="0.25">
      <c r="A110" s="1"/>
      <c r="B110" s="1"/>
      <c r="C110" s="2"/>
      <c r="D110" s="1"/>
      <c r="E110" s="1"/>
      <c r="F110" s="1"/>
      <c r="G110" s="7"/>
      <c r="H110" s="7"/>
      <c r="I110" s="1"/>
      <c r="J110" s="1"/>
    </row>
    <row r="111" spans="1:10" ht="15.75" customHeight="1" x14ac:dyDescent="0.25">
      <c r="A111" s="1"/>
      <c r="B111" s="1"/>
      <c r="C111" s="2"/>
      <c r="D111" s="1"/>
      <c r="E111" s="1"/>
      <c r="F111" s="1"/>
      <c r="G111" s="7"/>
      <c r="H111" s="7"/>
      <c r="I111" s="1"/>
      <c r="J111" s="1"/>
    </row>
    <row r="112" spans="1:10" ht="15.75" customHeight="1" x14ac:dyDescent="0.25">
      <c r="A112" s="1"/>
      <c r="B112" s="1"/>
      <c r="C112" s="2"/>
      <c r="D112" s="1"/>
      <c r="E112" s="1"/>
      <c r="F112" s="1"/>
      <c r="G112" s="7"/>
      <c r="H112" s="7"/>
      <c r="I112" s="1"/>
      <c r="J112" s="1"/>
    </row>
    <row r="113" spans="1:10" ht="15.75" customHeight="1" x14ac:dyDescent="0.25">
      <c r="A113" s="1"/>
      <c r="B113" s="1"/>
      <c r="C113" s="2"/>
      <c r="D113" s="1"/>
      <c r="E113" s="1"/>
      <c r="F113" s="1"/>
      <c r="G113" s="7"/>
      <c r="H113" s="7"/>
      <c r="I113" s="1"/>
      <c r="J113" s="1"/>
    </row>
    <row r="114" spans="1:10" ht="15.75" customHeight="1" x14ac:dyDescent="0.25">
      <c r="A114" s="1"/>
      <c r="B114" s="1"/>
      <c r="C114" s="2"/>
      <c r="D114" s="1"/>
      <c r="E114" s="1"/>
      <c r="F114" s="1"/>
      <c r="G114" s="7"/>
      <c r="H114" s="7"/>
      <c r="I114" s="1"/>
      <c r="J114" s="1"/>
    </row>
    <row r="115" spans="1:10" ht="15.75" customHeight="1" x14ac:dyDescent="0.25">
      <c r="A115" s="1"/>
      <c r="B115" s="1"/>
      <c r="C115" s="2"/>
      <c r="D115" s="1"/>
      <c r="E115" s="1"/>
      <c r="F115" s="1"/>
      <c r="G115" s="7"/>
      <c r="H115" s="7"/>
      <c r="I115" s="1"/>
      <c r="J115" s="1"/>
    </row>
    <row r="116" spans="1:10" ht="15.75" customHeight="1" x14ac:dyDescent="0.25">
      <c r="A116" s="1"/>
      <c r="B116" s="1"/>
      <c r="C116" s="2"/>
      <c r="D116" s="1"/>
      <c r="E116" s="1"/>
      <c r="F116" s="1"/>
      <c r="G116" s="7"/>
      <c r="H116" s="7"/>
      <c r="I116" s="1"/>
      <c r="J116" s="1"/>
    </row>
    <row r="117" spans="1:10" ht="15.75" customHeight="1" x14ac:dyDescent="0.25">
      <c r="A117" s="1"/>
      <c r="B117" s="1"/>
      <c r="C117" s="2"/>
      <c r="D117" s="1"/>
      <c r="E117" s="1"/>
      <c r="F117" s="1"/>
      <c r="G117" s="7"/>
      <c r="H117" s="7"/>
      <c r="I117" s="1"/>
      <c r="J117" s="1"/>
    </row>
    <row r="118" spans="1:10" ht="15.75" customHeight="1" x14ac:dyDescent="0.25">
      <c r="A118" s="1"/>
      <c r="B118" s="1"/>
      <c r="C118" s="2"/>
      <c r="D118" s="1"/>
      <c r="E118" s="1"/>
      <c r="F118" s="1"/>
      <c r="G118" s="7"/>
      <c r="H118" s="7"/>
      <c r="I118" s="1"/>
      <c r="J118" s="1"/>
    </row>
    <row r="119" spans="1:10" ht="15.75" customHeight="1" x14ac:dyDescent="0.25">
      <c r="A119" s="1"/>
      <c r="B119" s="1"/>
      <c r="C119" s="2"/>
      <c r="D119" s="1"/>
      <c r="E119" s="1"/>
      <c r="F119" s="1"/>
      <c r="G119" s="7"/>
      <c r="H119" s="7"/>
      <c r="I119" s="1"/>
      <c r="J119" s="1"/>
    </row>
    <row r="120" spans="1:10" ht="15.75" customHeight="1" x14ac:dyDescent="0.25">
      <c r="A120" s="1"/>
      <c r="B120" s="1"/>
      <c r="C120" s="2"/>
      <c r="D120" s="1"/>
      <c r="E120" s="1"/>
      <c r="F120" s="1"/>
      <c r="G120" s="7"/>
      <c r="H120" s="7"/>
      <c r="I120" s="1"/>
      <c r="J120" s="1"/>
    </row>
    <row r="121" spans="1:10" ht="15.75" customHeight="1" x14ac:dyDescent="0.25">
      <c r="A121" s="1"/>
      <c r="B121" s="1"/>
      <c r="C121" s="2"/>
      <c r="D121" s="1"/>
      <c r="E121" s="1"/>
      <c r="F121" s="1"/>
      <c r="G121" s="7"/>
      <c r="H121" s="7"/>
      <c r="I121" s="1"/>
      <c r="J121" s="1"/>
    </row>
    <row r="122" spans="1:10" ht="15.75" customHeight="1" x14ac:dyDescent="0.25">
      <c r="A122" s="1"/>
      <c r="B122" s="1"/>
      <c r="C122" s="2"/>
      <c r="D122" s="1"/>
      <c r="E122" s="1"/>
      <c r="F122" s="1"/>
      <c r="G122" s="7"/>
      <c r="H122" s="7"/>
      <c r="I122" s="1"/>
      <c r="J122" s="1"/>
    </row>
    <row r="123" spans="1:10" ht="15.75" customHeight="1" x14ac:dyDescent="0.25">
      <c r="A123" s="1"/>
      <c r="B123" s="1"/>
      <c r="C123" s="2"/>
      <c r="D123" s="1"/>
      <c r="E123" s="1"/>
      <c r="F123" s="1"/>
      <c r="G123" s="7"/>
      <c r="H123" s="7"/>
      <c r="I123" s="1"/>
      <c r="J123" s="1"/>
    </row>
    <row r="124" spans="1:10" ht="15.75" customHeight="1" x14ac:dyDescent="0.25">
      <c r="A124" s="1"/>
      <c r="B124" s="1"/>
      <c r="C124" s="2"/>
      <c r="D124" s="1"/>
      <c r="E124" s="1"/>
      <c r="F124" s="1"/>
      <c r="G124" s="7"/>
      <c r="H124" s="7"/>
      <c r="I124" s="1"/>
      <c r="J124" s="1"/>
    </row>
    <row r="125" spans="1:10" ht="15.75" customHeight="1" x14ac:dyDescent="0.25">
      <c r="A125" s="1"/>
      <c r="B125" s="1"/>
      <c r="C125" s="2"/>
      <c r="D125" s="1"/>
      <c r="E125" s="1"/>
      <c r="F125" s="1"/>
      <c r="G125" s="7"/>
      <c r="H125" s="7"/>
      <c r="I125" s="1"/>
      <c r="J125" s="1"/>
    </row>
    <row r="126" spans="1:10" ht="15.75" customHeight="1" x14ac:dyDescent="0.25">
      <c r="A126" s="1"/>
      <c r="B126" s="1"/>
      <c r="C126" s="2"/>
      <c r="D126" s="1"/>
      <c r="E126" s="1"/>
      <c r="F126" s="1"/>
      <c r="G126" s="7"/>
      <c r="H126" s="7"/>
      <c r="I126" s="1"/>
      <c r="J126" s="1"/>
    </row>
    <row r="127" spans="1:10" ht="15.75" customHeight="1" x14ac:dyDescent="0.25">
      <c r="A127" s="1"/>
      <c r="B127" s="1"/>
      <c r="C127" s="2"/>
      <c r="D127" s="1"/>
      <c r="E127" s="1"/>
      <c r="F127" s="1"/>
      <c r="G127" s="7"/>
      <c r="H127" s="7"/>
      <c r="I127" s="1"/>
      <c r="J127" s="1"/>
    </row>
    <row r="128" spans="1:10" ht="15.75" customHeight="1" x14ac:dyDescent="0.25">
      <c r="A128" s="1"/>
      <c r="B128" s="1"/>
      <c r="C128" s="2"/>
      <c r="D128" s="1"/>
      <c r="E128" s="1"/>
      <c r="F128" s="1"/>
      <c r="G128" s="7"/>
      <c r="H128" s="7"/>
      <c r="I128" s="1"/>
      <c r="J128" s="1"/>
    </row>
    <row r="129" spans="1:10" ht="15.75" customHeight="1" x14ac:dyDescent="0.25">
      <c r="A129" s="1"/>
      <c r="B129" s="1"/>
      <c r="C129" s="2"/>
      <c r="D129" s="1"/>
      <c r="E129" s="1"/>
      <c r="F129" s="1"/>
      <c r="G129" s="7"/>
      <c r="H129" s="7"/>
      <c r="I129" s="1"/>
      <c r="J129" s="1"/>
    </row>
    <row r="130" spans="1:10" ht="15.75" customHeight="1" x14ac:dyDescent="0.25">
      <c r="A130" s="1"/>
      <c r="B130" s="1"/>
      <c r="C130" s="2"/>
      <c r="D130" s="1"/>
      <c r="E130" s="1"/>
      <c r="F130" s="1"/>
      <c r="G130" s="7"/>
      <c r="H130" s="7"/>
      <c r="I130" s="1"/>
      <c r="J130" s="1"/>
    </row>
    <row r="131" spans="1:10" ht="15.75" customHeight="1" x14ac:dyDescent="0.25">
      <c r="A131" s="1"/>
      <c r="B131" s="1"/>
      <c r="C131" s="2"/>
      <c r="D131" s="1"/>
      <c r="E131" s="1"/>
      <c r="F131" s="1"/>
      <c r="G131" s="7"/>
      <c r="H131" s="7"/>
      <c r="I131" s="1"/>
      <c r="J131" s="1"/>
    </row>
    <row r="132" spans="1:10" ht="15.75" customHeight="1" x14ac:dyDescent="0.25">
      <c r="A132" s="1"/>
      <c r="B132" s="1"/>
      <c r="C132" s="2"/>
      <c r="D132" s="1"/>
      <c r="E132" s="1"/>
      <c r="F132" s="1"/>
      <c r="G132" s="7"/>
      <c r="H132" s="7"/>
      <c r="I132" s="1"/>
      <c r="J132" s="1"/>
    </row>
    <row r="133" spans="1:10" ht="15.75" customHeight="1" x14ac:dyDescent="0.25">
      <c r="A133" s="1"/>
      <c r="B133" s="1"/>
      <c r="C133" s="2"/>
      <c r="D133" s="1"/>
      <c r="E133" s="1"/>
      <c r="F133" s="1"/>
      <c r="G133" s="7"/>
      <c r="H133" s="7"/>
      <c r="I133" s="1"/>
      <c r="J133" s="1"/>
    </row>
    <row r="134" spans="1:10" ht="15.75" customHeight="1" x14ac:dyDescent="0.25">
      <c r="A134" s="1"/>
      <c r="B134" s="1"/>
      <c r="C134" s="2"/>
      <c r="D134" s="1"/>
      <c r="E134" s="1"/>
      <c r="F134" s="1"/>
      <c r="G134" s="7"/>
      <c r="H134" s="7"/>
      <c r="I134" s="1"/>
      <c r="J134" s="1"/>
    </row>
    <row r="135" spans="1:10" ht="15.75" customHeight="1" x14ac:dyDescent="0.25">
      <c r="A135" s="1"/>
      <c r="B135" s="1"/>
      <c r="C135" s="2"/>
      <c r="D135" s="1"/>
      <c r="E135" s="1"/>
      <c r="F135" s="1"/>
      <c r="G135" s="7"/>
      <c r="H135" s="7"/>
      <c r="I135" s="1"/>
      <c r="J135" s="1"/>
    </row>
    <row r="136" spans="1:10" ht="15.75" customHeight="1" x14ac:dyDescent="0.25">
      <c r="A136" s="1"/>
      <c r="B136" s="1"/>
      <c r="C136" s="2"/>
      <c r="D136" s="1"/>
      <c r="E136" s="1"/>
      <c r="F136" s="1"/>
      <c r="G136" s="7"/>
      <c r="H136" s="7"/>
      <c r="I136" s="1"/>
      <c r="J136" s="1"/>
    </row>
    <row r="137" spans="1:10" ht="15.75" customHeight="1" x14ac:dyDescent="0.25">
      <c r="A137" s="1"/>
      <c r="B137" s="1"/>
      <c r="C137" s="2"/>
      <c r="D137" s="1"/>
      <c r="E137" s="1"/>
      <c r="F137" s="1"/>
      <c r="G137" s="7"/>
      <c r="H137" s="7"/>
      <c r="I137" s="1"/>
      <c r="J137" s="1"/>
    </row>
    <row r="138" spans="1:10" ht="15.75" customHeight="1" x14ac:dyDescent="0.25">
      <c r="A138" s="1"/>
      <c r="B138" s="1"/>
      <c r="C138" s="2"/>
      <c r="D138" s="1"/>
      <c r="E138" s="1"/>
      <c r="F138" s="1"/>
      <c r="G138" s="7"/>
      <c r="H138" s="7"/>
      <c r="I138" s="1"/>
      <c r="J138" s="1"/>
    </row>
    <row r="139" spans="1:10" ht="15.75" customHeight="1" x14ac:dyDescent="0.25">
      <c r="A139" s="1"/>
      <c r="B139" s="1"/>
      <c r="C139" s="2"/>
      <c r="D139" s="1"/>
      <c r="E139" s="1"/>
      <c r="F139" s="1"/>
      <c r="G139" s="7"/>
      <c r="H139" s="7"/>
      <c r="I139" s="1"/>
      <c r="J139" s="1"/>
    </row>
    <row r="140" spans="1:10" ht="15.75" customHeight="1" x14ac:dyDescent="0.25">
      <c r="A140" s="1"/>
      <c r="B140" s="1"/>
      <c r="C140" s="2"/>
      <c r="D140" s="1"/>
      <c r="E140" s="1"/>
      <c r="F140" s="1"/>
      <c r="G140" s="7"/>
      <c r="H140" s="7"/>
      <c r="I140" s="1"/>
      <c r="J140" s="1"/>
    </row>
    <row r="141" spans="1:10" ht="15.75" customHeight="1" x14ac:dyDescent="0.25">
      <c r="A141" s="1"/>
      <c r="B141" s="1"/>
      <c r="C141" s="2"/>
      <c r="D141" s="1"/>
      <c r="E141" s="1"/>
      <c r="F141" s="1"/>
      <c r="G141" s="7"/>
      <c r="H141" s="7"/>
      <c r="I141" s="1"/>
      <c r="J141" s="1"/>
    </row>
    <row r="142" spans="1:10" ht="15.75" customHeight="1" x14ac:dyDescent="0.25">
      <c r="A142" s="1"/>
      <c r="B142" s="1"/>
      <c r="C142" s="2"/>
      <c r="D142" s="1"/>
      <c r="E142" s="1"/>
      <c r="F142" s="1"/>
      <c r="G142" s="7"/>
      <c r="H142" s="7"/>
      <c r="I142" s="1"/>
      <c r="J142" s="1"/>
    </row>
    <row r="143" spans="1:10" ht="15.75" customHeight="1" x14ac:dyDescent="0.25">
      <c r="A143" s="1"/>
      <c r="B143" s="1"/>
      <c r="C143" s="2"/>
      <c r="D143" s="1"/>
      <c r="E143" s="1"/>
      <c r="F143" s="1"/>
      <c r="G143" s="7"/>
      <c r="H143" s="7"/>
      <c r="I143" s="1"/>
      <c r="J143" s="1"/>
    </row>
    <row r="144" spans="1:10" ht="15.75" customHeight="1" x14ac:dyDescent="0.25">
      <c r="A144" s="1"/>
      <c r="B144" s="1"/>
      <c r="C144" s="2"/>
      <c r="D144" s="1"/>
      <c r="E144" s="1"/>
      <c r="F144" s="1"/>
      <c r="G144" s="7"/>
      <c r="H144" s="7"/>
      <c r="I144" s="1"/>
      <c r="J144" s="1"/>
    </row>
    <row r="145" spans="1:10" ht="15.75" customHeight="1" x14ac:dyDescent="0.25">
      <c r="A145" s="1"/>
      <c r="B145" s="1"/>
      <c r="C145" s="2"/>
      <c r="D145" s="1"/>
      <c r="E145" s="1"/>
      <c r="F145" s="1"/>
      <c r="G145" s="7"/>
      <c r="H145" s="7"/>
      <c r="I145" s="1"/>
      <c r="J145" s="1"/>
    </row>
    <row r="146" spans="1:10" ht="15.75" customHeight="1" x14ac:dyDescent="0.25">
      <c r="A146" s="1"/>
      <c r="B146" s="1"/>
      <c r="C146" s="2"/>
      <c r="D146" s="1"/>
      <c r="E146" s="1"/>
      <c r="F146" s="1"/>
      <c r="G146" s="7"/>
      <c r="H146" s="7"/>
      <c r="I146" s="1"/>
      <c r="J146" s="1"/>
    </row>
    <row r="147" spans="1:10" ht="15.75" customHeight="1" x14ac:dyDescent="0.25">
      <c r="A147" s="1"/>
      <c r="B147" s="1"/>
      <c r="C147" s="2"/>
      <c r="D147" s="1"/>
      <c r="E147" s="1"/>
      <c r="F147" s="1"/>
      <c r="G147" s="7"/>
      <c r="H147" s="7"/>
      <c r="I147" s="1"/>
      <c r="J147" s="1"/>
    </row>
    <row r="148" spans="1:10" ht="15.75" customHeight="1" x14ac:dyDescent="0.25">
      <c r="A148" s="1"/>
      <c r="B148" s="1"/>
      <c r="C148" s="2"/>
      <c r="D148" s="1"/>
      <c r="E148" s="1"/>
      <c r="F148" s="1"/>
      <c r="G148" s="7"/>
      <c r="H148" s="7"/>
      <c r="I148" s="1"/>
      <c r="J148" s="1"/>
    </row>
    <row r="149" spans="1:10" ht="15.75" customHeight="1" x14ac:dyDescent="0.25">
      <c r="A149" s="1"/>
      <c r="B149" s="1"/>
      <c r="C149" s="2"/>
      <c r="D149" s="1"/>
      <c r="E149" s="1"/>
      <c r="F149" s="1"/>
      <c r="G149" s="7"/>
      <c r="H149" s="7"/>
      <c r="I149" s="1"/>
      <c r="J149" s="1"/>
    </row>
    <row r="150" spans="1:10" ht="15.75" customHeight="1" x14ac:dyDescent="0.25">
      <c r="A150" s="1"/>
      <c r="B150" s="1"/>
      <c r="C150" s="2"/>
      <c r="D150" s="1"/>
      <c r="E150" s="1"/>
      <c r="F150" s="1"/>
      <c r="G150" s="7"/>
      <c r="H150" s="7"/>
      <c r="I150" s="1"/>
      <c r="J150" s="1"/>
    </row>
    <row r="151" spans="1:10" ht="15.75" customHeight="1" x14ac:dyDescent="0.25">
      <c r="A151" s="1"/>
      <c r="B151" s="1"/>
      <c r="C151" s="2"/>
      <c r="D151" s="1"/>
      <c r="E151" s="1"/>
      <c r="F151" s="1"/>
      <c r="G151" s="7"/>
      <c r="H151" s="7"/>
      <c r="I151" s="1"/>
      <c r="J151" s="1"/>
    </row>
    <row r="152" spans="1:10" ht="15.75" customHeight="1" x14ac:dyDescent="0.25">
      <c r="A152" s="1"/>
      <c r="B152" s="1"/>
      <c r="C152" s="2"/>
      <c r="D152" s="1"/>
      <c r="E152" s="1"/>
      <c r="F152" s="1"/>
      <c r="G152" s="7"/>
      <c r="H152" s="7"/>
      <c r="I152" s="1"/>
      <c r="J152" s="1"/>
    </row>
    <row r="153" spans="1:10" ht="15.75" customHeight="1" x14ac:dyDescent="0.25">
      <c r="A153" s="1"/>
      <c r="B153" s="1"/>
      <c r="C153" s="2"/>
      <c r="D153" s="1"/>
      <c r="E153" s="1"/>
      <c r="F153" s="1"/>
      <c r="G153" s="7"/>
      <c r="H153" s="7"/>
      <c r="I153" s="1"/>
      <c r="J153" s="1"/>
    </row>
    <row r="154" spans="1:10" ht="15.75" customHeight="1" x14ac:dyDescent="0.25">
      <c r="A154" s="1"/>
      <c r="B154" s="1"/>
      <c r="C154" s="2"/>
      <c r="D154" s="1"/>
      <c r="E154" s="1"/>
      <c r="F154" s="1"/>
      <c r="G154" s="7"/>
      <c r="H154" s="7"/>
      <c r="I154" s="1"/>
      <c r="J154" s="1"/>
    </row>
    <row r="155" spans="1:10" ht="15.75" customHeight="1" x14ac:dyDescent="0.25">
      <c r="A155" s="1"/>
      <c r="B155" s="1"/>
      <c r="C155" s="2"/>
      <c r="D155" s="1"/>
      <c r="E155" s="1"/>
      <c r="F155" s="1"/>
      <c r="G155" s="7"/>
      <c r="H155" s="7"/>
      <c r="I155" s="1"/>
      <c r="J155" s="1"/>
    </row>
    <row r="156" spans="1:10" ht="15.75" customHeight="1" x14ac:dyDescent="0.25">
      <c r="A156" s="1"/>
      <c r="B156" s="1"/>
      <c r="C156" s="2"/>
      <c r="D156" s="1"/>
      <c r="E156" s="1"/>
      <c r="F156" s="1"/>
      <c r="G156" s="7"/>
      <c r="H156" s="7"/>
      <c r="I156" s="1"/>
      <c r="J156" s="1"/>
    </row>
    <row r="157" spans="1:10" ht="15.75" customHeight="1" x14ac:dyDescent="0.25">
      <c r="A157" s="1"/>
      <c r="B157" s="1"/>
      <c r="C157" s="2"/>
      <c r="D157" s="1"/>
      <c r="E157" s="1"/>
      <c r="F157" s="1"/>
      <c r="G157" s="7"/>
      <c r="H157" s="7"/>
      <c r="I157" s="1"/>
      <c r="J157" s="1"/>
    </row>
    <row r="158" spans="1:10" ht="15.75" customHeight="1" x14ac:dyDescent="0.25">
      <c r="A158" s="1"/>
      <c r="B158" s="1"/>
      <c r="C158" s="2"/>
      <c r="D158" s="1"/>
      <c r="E158" s="1"/>
      <c r="F158" s="1"/>
      <c r="G158" s="7"/>
      <c r="H158" s="7"/>
      <c r="I158" s="1"/>
      <c r="J158" s="1"/>
    </row>
    <row r="159" spans="1:10" ht="15.75" customHeight="1" x14ac:dyDescent="0.25">
      <c r="A159" s="1"/>
      <c r="B159" s="1"/>
      <c r="C159" s="2"/>
      <c r="D159" s="1"/>
      <c r="E159" s="1"/>
      <c r="F159" s="1"/>
      <c r="G159" s="7"/>
      <c r="H159" s="7"/>
      <c r="I159" s="1"/>
      <c r="J159" s="1"/>
    </row>
    <row r="160" spans="1:10" ht="15.75" customHeight="1" x14ac:dyDescent="0.25">
      <c r="A160" s="1"/>
      <c r="B160" s="1"/>
      <c r="C160" s="2"/>
      <c r="D160" s="1"/>
      <c r="E160" s="1"/>
      <c r="F160" s="1"/>
      <c r="G160" s="7"/>
      <c r="H160" s="7"/>
      <c r="I160" s="1"/>
      <c r="J160" s="1"/>
    </row>
    <row r="161" spans="1:10" ht="15.75" customHeight="1" x14ac:dyDescent="0.25">
      <c r="A161" s="1"/>
      <c r="B161" s="1"/>
      <c r="C161" s="2"/>
      <c r="D161" s="1"/>
      <c r="E161" s="1"/>
      <c r="F161" s="1"/>
      <c r="G161" s="7"/>
      <c r="H161" s="7"/>
      <c r="I161" s="1"/>
      <c r="J161" s="1"/>
    </row>
    <row r="162" spans="1:10" ht="15.75" customHeight="1" x14ac:dyDescent="0.25">
      <c r="A162" s="1"/>
      <c r="B162" s="1"/>
      <c r="C162" s="2"/>
      <c r="D162" s="1"/>
      <c r="E162" s="1"/>
      <c r="F162" s="1"/>
      <c r="G162" s="7"/>
      <c r="H162" s="7"/>
      <c r="I162" s="1"/>
      <c r="J162" s="1"/>
    </row>
    <row r="163" spans="1:10" ht="15.75" customHeight="1" x14ac:dyDescent="0.25">
      <c r="A163" s="1"/>
      <c r="B163" s="1"/>
      <c r="C163" s="2"/>
      <c r="D163" s="1"/>
      <c r="E163" s="1"/>
      <c r="F163" s="1"/>
      <c r="G163" s="7"/>
      <c r="H163" s="7"/>
      <c r="I163" s="1"/>
      <c r="J163" s="1"/>
    </row>
    <row r="164" spans="1:10" ht="15.75" customHeight="1" x14ac:dyDescent="0.25">
      <c r="A164" s="1"/>
      <c r="B164" s="1"/>
      <c r="C164" s="2"/>
      <c r="D164" s="1"/>
      <c r="E164" s="1"/>
      <c r="F164" s="1"/>
      <c r="G164" s="7"/>
      <c r="H164" s="7"/>
      <c r="I164" s="1"/>
      <c r="J164" s="1"/>
    </row>
    <row r="165" spans="1:10" ht="15.75" customHeight="1" x14ac:dyDescent="0.25">
      <c r="A165" s="1"/>
      <c r="B165" s="1"/>
      <c r="C165" s="2"/>
      <c r="D165" s="1"/>
      <c r="E165" s="1"/>
      <c r="F165" s="1"/>
      <c r="G165" s="7"/>
      <c r="H165" s="7"/>
      <c r="I165" s="1"/>
      <c r="J165" s="1"/>
    </row>
    <row r="166" spans="1:10" ht="15.75" customHeight="1" x14ac:dyDescent="0.25">
      <c r="A166" s="1"/>
      <c r="B166" s="1"/>
      <c r="C166" s="2"/>
      <c r="D166" s="1"/>
      <c r="E166" s="1"/>
      <c r="F166" s="1"/>
      <c r="G166" s="7"/>
      <c r="H166" s="7"/>
      <c r="I166" s="1"/>
      <c r="J166" s="1"/>
    </row>
    <row r="167" spans="1:10" ht="15.75" customHeight="1" x14ac:dyDescent="0.25">
      <c r="A167" s="1"/>
      <c r="B167" s="1"/>
      <c r="C167" s="2"/>
      <c r="D167" s="1"/>
      <c r="E167" s="1"/>
      <c r="F167" s="1"/>
      <c r="G167" s="7"/>
      <c r="H167" s="7"/>
      <c r="I167" s="1"/>
      <c r="J167" s="1"/>
    </row>
    <row r="168" spans="1:10" ht="15.75" customHeight="1" x14ac:dyDescent="0.25">
      <c r="A168" s="1"/>
      <c r="B168" s="1"/>
      <c r="C168" s="2"/>
      <c r="D168" s="1"/>
      <c r="E168" s="1"/>
      <c r="F168" s="1"/>
      <c r="G168" s="7"/>
      <c r="H168" s="7"/>
      <c r="I168" s="1"/>
      <c r="J168" s="1"/>
    </row>
    <row r="169" spans="1:10" ht="15.75" customHeight="1" x14ac:dyDescent="0.25">
      <c r="A169" s="1"/>
      <c r="B169" s="1"/>
      <c r="C169" s="2"/>
      <c r="D169" s="1"/>
      <c r="E169" s="1"/>
      <c r="F169" s="1"/>
      <c r="G169" s="7"/>
      <c r="H169" s="7"/>
      <c r="I169" s="1"/>
      <c r="J169" s="1"/>
    </row>
    <row r="170" spans="1:10" ht="15.75" customHeight="1" x14ac:dyDescent="0.25">
      <c r="A170" s="1"/>
      <c r="B170" s="1"/>
      <c r="C170" s="2"/>
      <c r="D170" s="1"/>
      <c r="E170" s="1"/>
      <c r="F170" s="1"/>
      <c r="G170" s="7"/>
      <c r="H170" s="7"/>
      <c r="I170" s="1"/>
      <c r="J170" s="1"/>
    </row>
    <row r="171" spans="1:10" ht="15.75" customHeight="1" x14ac:dyDescent="0.25">
      <c r="A171" s="1"/>
      <c r="B171" s="1"/>
      <c r="C171" s="2"/>
      <c r="D171" s="1"/>
      <c r="E171" s="1"/>
      <c r="F171" s="1"/>
      <c r="G171" s="7"/>
      <c r="H171" s="7"/>
      <c r="I171" s="1"/>
      <c r="J171" s="1"/>
    </row>
    <row r="172" spans="1:10" ht="15.75" customHeight="1" x14ac:dyDescent="0.25">
      <c r="A172" s="1"/>
      <c r="B172" s="1"/>
      <c r="C172" s="2"/>
      <c r="D172" s="1"/>
      <c r="E172" s="1"/>
      <c r="F172" s="1"/>
      <c r="G172" s="7"/>
      <c r="H172" s="7"/>
      <c r="I172" s="1"/>
      <c r="J172" s="1"/>
    </row>
    <row r="173" spans="1:10" ht="15.75" customHeight="1" x14ac:dyDescent="0.25">
      <c r="A173" s="1"/>
      <c r="B173" s="1"/>
      <c r="C173" s="2"/>
      <c r="D173" s="1"/>
      <c r="E173" s="1"/>
      <c r="F173" s="1"/>
      <c r="G173" s="7"/>
      <c r="H173" s="7"/>
      <c r="I173" s="1"/>
      <c r="J173" s="1"/>
    </row>
    <row r="174" spans="1:10" ht="15.75" customHeight="1" x14ac:dyDescent="0.25">
      <c r="A174" s="1"/>
      <c r="B174" s="1"/>
      <c r="C174" s="2"/>
      <c r="D174" s="1"/>
      <c r="E174" s="1"/>
      <c r="F174" s="1"/>
      <c r="G174" s="7"/>
      <c r="H174" s="7"/>
      <c r="I174" s="1"/>
      <c r="J174" s="1"/>
    </row>
    <row r="175" spans="1:10" ht="15.75" customHeight="1" x14ac:dyDescent="0.25">
      <c r="A175" s="1"/>
      <c r="B175" s="1"/>
      <c r="C175" s="2"/>
      <c r="D175" s="1"/>
      <c r="E175" s="1"/>
      <c r="F175" s="1"/>
      <c r="G175" s="7"/>
      <c r="H175" s="7"/>
      <c r="I175" s="1"/>
      <c r="J175" s="1"/>
    </row>
    <row r="176" spans="1:10" ht="15.75" customHeight="1" x14ac:dyDescent="0.25">
      <c r="A176" s="1"/>
      <c r="B176" s="1"/>
      <c r="C176" s="2"/>
      <c r="D176" s="1"/>
      <c r="E176" s="1"/>
      <c r="F176" s="1"/>
      <c r="G176" s="7"/>
      <c r="H176" s="7"/>
      <c r="I176" s="1"/>
      <c r="J176" s="1"/>
    </row>
    <row r="177" spans="1:10" ht="15.75" customHeight="1" x14ac:dyDescent="0.25">
      <c r="A177" s="1"/>
      <c r="B177" s="1"/>
      <c r="C177" s="2"/>
      <c r="D177" s="1"/>
      <c r="E177" s="1"/>
      <c r="F177" s="1"/>
      <c r="G177" s="7"/>
      <c r="H177" s="7"/>
      <c r="I177" s="1"/>
      <c r="J177" s="1"/>
    </row>
    <row r="178" spans="1:10" ht="15.75" customHeight="1" x14ac:dyDescent="0.25">
      <c r="A178" s="1"/>
      <c r="B178" s="1"/>
      <c r="C178" s="2"/>
      <c r="D178" s="1"/>
      <c r="E178" s="1"/>
      <c r="F178" s="1"/>
      <c r="G178" s="7"/>
      <c r="H178" s="7"/>
      <c r="I178" s="1"/>
      <c r="J178" s="1"/>
    </row>
    <row r="179" spans="1:10" ht="15.75" customHeight="1" x14ac:dyDescent="0.25">
      <c r="A179" s="1"/>
      <c r="B179" s="1"/>
      <c r="C179" s="2"/>
      <c r="D179" s="1"/>
      <c r="E179" s="1"/>
      <c r="F179" s="1"/>
      <c r="G179" s="7"/>
      <c r="H179" s="7"/>
      <c r="I179" s="1"/>
      <c r="J179" s="1"/>
    </row>
    <row r="180" spans="1:10" ht="15.75" customHeight="1" x14ac:dyDescent="0.25">
      <c r="A180" s="1"/>
      <c r="B180" s="1"/>
      <c r="C180" s="2"/>
      <c r="D180" s="1"/>
      <c r="E180" s="1"/>
      <c r="F180" s="1"/>
      <c r="G180" s="7"/>
      <c r="H180" s="7"/>
      <c r="I180" s="1"/>
      <c r="J180" s="1"/>
    </row>
    <row r="181" spans="1:10" ht="15.75" customHeight="1" x14ac:dyDescent="0.25">
      <c r="A181" s="1"/>
      <c r="B181" s="1"/>
      <c r="C181" s="2"/>
      <c r="D181" s="1"/>
      <c r="E181" s="1"/>
      <c r="F181" s="1"/>
      <c r="G181" s="7"/>
      <c r="H181" s="7"/>
      <c r="I181" s="1"/>
      <c r="J181" s="1"/>
    </row>
    <row r="182" spans="1:10" ht="15.75" customHeight="1" x14ac:dyDescent="0.25">
      <c r="A182" s="1"/>
      <c r="B182" s="1"/>
      <c r="C182" s="2"/>
      <c r="D182" s="1"/>
      <c r="E182" s="1"/>
      <c r="F182" s="1"/>
      <c r="G182" s="7"/>
      <c r="H182" s="7"/>
      <c r="I182" s="1"/>
      <c r="J182" s="1"/>
    </row>
    <row r="183" spans="1:10" ht="15.75" customHeight="1" x14ac:dyDescent="0.25">
      <c r="A183" s="1"/>
      <c r="B183" s="1"/>
      <c r="C183" s="2"/>
      <c r="D183" s="1"/>
      <c r="E183" s="1"/>
      <c r="F183" s="1"/>
      <c r="G183" s="7"/>
      <c r="H183" s="7"/>
      <c r="I183" s="1"/>
      <c r="J183" s="1"/>
    </row>
    <row r="184" spans="1:10" ht="15.75" customHeight="1" x14ac:dyDescent="0.25">
      <c r="A184" s="1"/>
      <c r="B184" s="1"/>
      <c r="C184" s="2"/>
      <c r="D184" s="1"/>
      <c r="E184" s="1"/>
      <c r="F184" s="1"/>
      <c r="G184" s="7"/>
      <c r="H184" s="7"/>
      <c r="I184" s="1"/>
      <c r="J184" s="1"/>
    </row>
    <row r="185" spans="1:10" ht="15.75" customHeight="1" x14ac:dyDescent="0.25">
      <c r="A185" s="1"/>
      <c r="B185" s="1"/>
      <c r="C185" s="2"/>
      <c r="D185" s="1"/>
      <c r="E185" s="1"/>
      <c r="F185" s="1"/>
      <c r="G185" s="7"/>
      <c r="H185" s="7"/>
      <c r="I185" s="1"/>
      <c r="J185" s="1"/>
    </row>
    <row r="186" spans="1:10" ht="15.75" customHeight="1" x14ac:dyDescent="0.25">
      <c r="A186" s="1"/>
      <c r="B186" s="1"/>
      <c r="C186" s="2"/>
      <c r="D186" s="1"/>
      <c r="E186" s="1"/>
      <c r="F186" s="1"/>
      <c r="G186" s="7"/>
      <c r="H186" s="7"/>
      <c r="I186" s="1"/>
      <c r="J186" s="1"/>
    </row>
    <row r="187" spans="1:10" ht="15.75" customHeight="1" x14ac:dyDescent="0.25">
      <c r="A187" s="1"/>
      <c r="B187" s="1"/>
      <c r="C187" s="2"/>
      <c r="D187" s="1"/>
      <c r="E187" s="1"/>
      <c r="F187" s="1"/>
      <c r="G187" s="7"/>
      <c r="H187" s="7"/>
      <c r="I187" s="1"/>
      <c r="J187" s="1"/>
    </row>
    <row r="188" spans="1:10" ht="15.75" customHeight="1" x14ac:dyDescent="0.25">
      <c r="A188" s="1"/>
      <c r="B188" s="1"/>
      <c r="C188" s="2"/>
      <c r="D188" s="1"/>
      <c r="E188" s="1"/>
      <c r="F188" s="1"/>
      <c r="G188" s="7"/>
      <c r="H188" s="7"/>
      <c r="I188" s="1"/>
      <c r="J188" s="1"/>
    </row>
    <row r="189" spans="1:10" ht="15.75" customHeight="1" x14ac:dyDescent="0.25">
      <c r="A189" s="1"/>
      <c r="B189" s="1"/>
      <c r="C189" s="2"/>
      <c r="D189" s="1"/>
      <c r="E189" s="1"/>
      <c r="F189" s="1"/>
      <c r="G189" s="7"/>
      <c r="H189" s="7"/>
      <c r="I189" s="1"/>
      <c r="J189" s="1"/>
    </row>
    <row r="190" spans="1:10" ht="15.75" customHeight="1" x14ac:dyDescent="0.25">
      <c r="A190" s="1"/>
      <c r="B190" s="1"/>
      <c r="C190" s="2"/>
      <c r="D190" s="1"/>
      <c r="E190" s="1"/>
      <c r="F190" s="1"/>
      <c r="G190" s="7"/>
      <c r="H190" s="7"/>
      <c r="I190" s="1"/>
      <c r="J190" s="1"/>
    </row>
    <row r="191" spans="1:10" ht="15.75" customHeight="1" x14ac:dyDescent="0.25">
      <c r="A191" s="1"/>
      <c r="B191" s="1"/>
      <c r="C191" s="2"/>
      <c r="D191" s="1"/>
      <c r="E191" s="1"/>
      <c r="F191" s="1"/>
      <c r="G191" s="7"/>
      <c r="H191" s="7"/>
      <c r="I191" s="1"/>
      <c r="J191" s="1"/>
    </row>
    <row r="192" spans="1:10" ht="15.75" customHeight="1" x14ac:dyDescent="0.25">
      <c r="A192" s="1"/>
      <c r="B192" s="1"/>
      <c r="C192" s="2"/>
      <c r="D192" s="1"/>
      <c r="E192" s="1"/>
      <c r="F192" s="1"/>
      <c r="G192" s="7"/>
      <c r="H192" s="7"/>
      <c r="I192" s="1"/>
      <c r="J192" s="1"/>
    </row>
    <row r="193" spans="1:10" ht="15.75" customHeight="1" x14ac:dyDescent="0.25">
      <c r="A193" s="1"/>
      <c r="B193" s="1"/>
      <c r="C193" s="2"/>
      <c r="D193" s="1"/>
      <c r="E193" s="1"/>
      <c r="F193" s="1"/>
      <c r="G193" s="7"/>
      <c r="H193" s="7"/>
      <c r="I193" s="1"/>
      <c r="J193" s="1"/>
    </row>
    <row r="194" spans="1:10" ht="15.75" customHeight="1" x14ac:dyDescent="0.25">
      <c r="A194" s="1"/>
      <c r="B194" s="1"/>
      <c r="C194" s="2"/>
      <c r="D194" s="1"/>
      <c r="E194" s="1"/>
      <c r="F194" s="1"/>
      <c r="G194" s="7"/>
      <c r="H194" s="7"/>
      <c r="I194" s="1"/>
      <c r="J194" s="1"/>
    </row>
    <row r="195" spans="1:10" ht="15.75" customHeight="1" x14ac:dyDescent="0.25">
      <c r="A195" s="1"/>
      <c r="B195" s="1"/>
      <c r="C195" s="2"/>
      <c r="D195" s="1"/>
      <c r="E195" s="1"/>
      <c r="F195" s="1"/>
      <c r="G195" s="7"/>
      <c r="H195" s="7"/>
      <c r="I195" s="1"/>
      <c r="J195" s="1"/>
    </row>
    <row r="196" spans="1:10" ht="15.75" customHeight="1" x14ac:dyDescent="0.25">
      <c r="A196" s="1"/>
      <c r="B196" s="1"/>
      <c r="C196" s="2"/>
      <c r="D196" s="1"/>
      <c r="E196" s="1"/>
      <c r="F196" s="1"/>
      <c r="G196" s="7"/>
      <c r="H196" s="7"/>
      <c r="I196" s="1"/>
      <c r="J196" s="1"/>
    </row>
    <row r="197" spans="1:10" ht="15.75" customHeight="1" x14ac:dyDescent="0.25">
      <c r="A197" s="1"/>
      <c r="B197" s="1"/>
      <c r="C197" s="2"/>
      <c r="D197" s="1"/>
      <c r="E197" s="1"/>
      <c r="F197" s="1"/>
      <c r="G197" s="7"/>
      <c r="H197" s="7"/>
      <c r="I197" s="1"/>
      <c r="J197" s="1"/>
    </row>
    <row r="198" spans="1:10" ht="15.75" customHeight="1" x14ac:dyDescent="0.25">
      <c r="A198" s="1"/>
      <c r="B198" s="1"/>
      <c r="C198" s="2"/>
      <c r="D198" s="1"/>
      <c r="E198" s="1"/>
      <c r="F198" s="1"/>
      <c r="G198" s="7"/>
      <c r="H198" s="7"/>
      <c r="I198" s="1"/>
      <c r="J198" s="1"/>
    </row>
    <row r="199" spans="1:10" ht="15.75" customHeight="1" x14ac:dyDescent="0.25">
      <c r="A199" s="1"/>
      <c r="B199" s="1"/>
      <c r="C199" s="2"/>
      <c r="D199" s="1"/>
      <c r="E199" s="1"/>
      <c r="F199" s="1"/>
      <c r="G199" s="7"/>
      <c r="H199" s="7"/>
      <c r="I199" s="1"/>
      <c r="J199" s="1"/>
    </row>
    <row r="200" spans="1:10" ht="15.75" customHeight="1" x14ac:dyDescent="0.25">
      <c r="A200" s="1"/>
      <c r="B200" s="1"/>
      <c r="C200" s="2"/>
      <c r="D200" s="1"/>
      <c r="E200" s="1"/>
      <c r="F200" s="1"/>
      <c r="G200" s="7"/>
      <c r="H200" s="7"/>
      <c r="I200" s="1"/>
      <c r="J200" s="1"/>
    </row>
    <row r="201" spans="1:10" ht="15.75" customHeight="1" x14ac:dyDescent="0.25">
      <c r="A201" s="1"/>
      <c r="B201" s="1"/>
      <c r="C201" s="2"/>
      <c r="D201" s="1"/>
      <c r="E201" s="1"/>
      <c r="F201" s="1"/>
      <c r="G201" s="7"/>
      <c r="H201" s="7"/>
      <c r="I201" s="1"/>
      <c r="J201" s="1"/>
    </row>
    <row r="202" spans="1:10" ht="15.75" customHeight="1" x14ac:dyDescent="0.25">
      <c r="A202" s="1"/>
      <c r="B202" s="1"/>
      <c r="C202" s="2"/>
      <c r="D202" s="1"/>
      <c r="E202" s="1"/>
      <c r="F202" s="1"/>
      <c r="G202" s="7"/>
      <c r="H202" s="7"/>
      <c r="I202" s="1"/>
      <c r="J202" s="1"/>
    </row>
    <row r="203" spans="1:10" ht="15.75" customHeight="1" x14ac:dyDescent="0.25">
      <c r="A203" s="1"/>
      <c r="B203" s="1"/>
      <c r="C203" s="2"/>
      <c r="D203" s="1"/>
      <c r="E203" s="1"/>
      <c r="F203" s="1"/>
      <c r="G203" s="7"/>
      <c r="H203" s="7"/>
      <c r="I203" s="1"/>
      <c r="J203" s="1"/>
    </row>
    <row r="204" spans="1:10" ht="15.75" customHeight="1" x14ac:dyDescent="0.25">
      <c r="A204" s="1"/>
      <c r="B204" s="1"/>
      <c r="C204" s="2"/>
      <c r="D204" s="1"/>
      <c r="E204" s="1"/>
      <c r="F204" s="1"/>
      <c r="G204" s="7"/>
      <c r="H204" s="7"/>
      <c r="I204" s="1"/>
      <c r="J204" s="1"/>
    </row>
    <row r="205" spans="1:10" ht="15.75" customHeight="1" x14ac:dyDescent="0.25">
      <c r="A205" s="1"/>
      <c r="B205" s="1"/>
      <c r="C205" s="2"/>
      <c r="D205" s="1"/>
      <c r="E205" s="1"/>
      <c r="F205" s="1"/>
      <c r="G205" s="7"/>
      <c r="H205" s="7"/>
      <c r="I205" s="1"/>
      <c r="J205" s="1"/>
    </row>
    <row r="206" spans="1:10" ht="15.75" customHeight="1" x14ac:dyDescent="0.25">
      <c r="A206" s="1"/>
      <c r="B206" s="1"/>
      <c r="C206" s="2"/>
      <c r="D206" s="1"/>
      <c r="E206" s="1"/>
      <c r="F206" s="1"/>
      <c r="G206" s="7"/>
      <c r="H206" s="7"/>
      <c r="I206" s="1"/>
      <c r="J206" s="1"/>
    </row>
    <row r="207" spans="1:10" ht="15.75" customHeight="1" x14ac:dyDescent="0.25">
      <c r="A207" s="1"/>
      <c r="B207" s="1"/>
      <c r="C207" s="2"/>
      <c r="D207" s="1"/>
      <c r="E207" s="1"/>
      <c r="F207" s="1"/>
      <c r="G207" s="7"/>
      <c r="H207" s="7"/>
      <c r="I207" s="1"/>
      <c r="J207" s="1"/>
    </row>
    <row r="208" spans="1:10" ht="15.75" customHeight="1" x14ac:dyDescent="0.25">
      <c r="A208" s="1"/>
      <c r="B208" s="1"/>
      <c r="C208" s="2"/>
      <c r="D208" s="1"/>
      <c r="E208" s="1"/>
      <c r="F208" s="1"/>
      <c r="G208" s="7"/>
      <c r="H208" s="7"/>
      <c r="I208" s="1"/>
      <c r="J208" s="1"/>
    </row>
    <row r="209" spans="1:10" ht="15.75" customHeight="1" x14ac:dyDescent="0.25">
      <c r="A209" s="1"/>
      <c r="B209" s="1"/>
      <c r="C209" s="2"/>
      <c r="D209" s="1"/>
      <c r="E209" s="1"/>
      <c r="F209" s="1"/>
      <c r="G209" s="7"/>
      <c r="H209" s="7"/>
      <c r="I209" s="1"/>
      <c r="J209" s="1"/>
    </row>
    <row r="210" spans="1:10" ht="15.75" customHeight="1" x14ac:dyDescent="0.25">
      <c r="A210" s="1"/>
      <c r="B210" s="1"/>
      <c r="C210" s="2"/>
      <c r="D210" s="1"/>
      <c r="E210" s="1"/>
      <c r="F210" s="1"/>
      <c r="G210" s="7"/>
      <c r="H210" s="7"/>
      <c r="I210" s="1"/>
      <c r="J210" s="1"/>
    </row>
    <row r="211" spans="1:10" ht="15.75" customHeight="1" x14ac:dyDescent="0.25">
      <c r="A211" s="1"/>
      <c r="B211" s="1"/>
      <c r="C211" s="2"/>
      <c r="D211" s="1"/>
      <c r="E211" s="1"/>
      <c r="F211" s="1"/>
      <c r="G211" s="7"/>
      <c r="H211" s="7"/>
      <c r="I211" s="1"/>
      <c r="J211" s="1"/>
    </row>
    <row r="212" spans="1:10" ht="15.75" customHeight="1" x14ac:dyDescent="0.25">
      <c r="A212" s="1"/>
      <c r="B212" s="1"/>
      <c r="C212" s="2"/>
      <c r="D212" s="1"/>
      <c r="E212" s="1"/>
      <c r="F212" s="1"/>
      <c r="G212" s="7"/>
      <c r="H212" s="7"/>
      <c r="I212" s="1"/>
      <c r="J212" s="1"/>
    </row>
    <row r="213" spans="1:10" ht="15.75" customHeight="1" x14ac:dyDescent="0.25">
      <c r="A213" s="1"/>
      <c r="B213" s="1"/>
      <c r="C213" s="2"/>
      <c r="D213" s="1"/>
      <c r="E213" s="1"/>
      <c r="F213" s="1"/>
      <c r="G213" s="7"/>
      <c r="H213" s="7"/>
      <c r="I213" s="1"/>
      <c r="J213" s="1"/>
    </row>
    <row r="214" spans="1:10" ht="15.75" customHeight="1" x14ac:dyDescent="0.25">
      <c r="A214" s="1"/>
      <c r="B214" s="1"/>
      <c r="C214" s="2"/>
      <c r="D214" s="1"/>
      <c r="E214" s="1"/>
      <c r="F214" s="1"/>
      <c r="G214" s="7"/>
      <c r="H214" s="7"/>
      <c r="I214" s="1"/>
      <c r="J214" s="1"/>
    </row>
    <row r="215" spans="1:10" ht="15.75" customHeight="1" x14ac:dyDescent="0.25">
      <c r="A215" s="1"/>
      <c r="B215" s="1"/>
      <c r="C215" s="2"/>
      <c r="D215" s="1"/>
      <c r="E215" s="1"/>
      <c r="F215" s="1"/>
      <c r="G215" s="7"/>
      <c r="H215" s="7"/>
      <c r="I215" s="1"/>
      <c r="J215" s="1"/>
    </row>
    <row r="216" spans="1:10" ht="15.75" customHeight="1" x14ac:dyDescent="0.25">
      <c r="A216" s="1"/>
      <c r="B216" s="1"/>
      <c r="C216" s="2"/>
      <c r="D216" s="1"/>
      <c r="E216" s="1"/>
      <c r="F216" s="1"/>
      <c r="G216" s="7"/>
      <c r="H216" s="7"/>
      <c r="I216" s="1"/>
      <c r="J216" s="1"/>
    </row>
    <row r="217" spans="1:10" ht="15.75" customHeight="1" x14ac:dyDescent="0.25">
      <c r="A217" s="1"/>
      <c r="B217" s="1"/>
      <c r="C217" s="2"/>
      <c r="D217" s="1"/>
      <c r="E217" s="1"/>
      <c r="F217" s="1"/>
      <c r="G217" s="7"/>
      <c r="H217" s="7"/>
      <c r="I217" s="1"/>
      <c r="J217" s="1"/>
    </row>
    <row r="218" spans="1:10" ht="15.75" customHeight="1" x14ac:dyDescent="0.25">
      <c r="A218" s="1"/>
      <c r="B218" s="1"/>
      <c r="C218" s="2"/>
      <c r="D218" s="1"/>
      <c r="E218" s="1"/>
      <c r="F218" s="1"/>
      <c r="G218" s="7"/>
      <c r="H218" s="7"/>
      <c r="I218" s="1"/>
      <c r="J218" s="1"/>
    </row>
    <row r="219" spans="1:10" ht="15.75" customHeight="1" x14ac:dyDescent="0.25">
      <c r="A219" s="1"/>
      <c r="B219" s="1"/>
      <c r="C219" s="2"/>
      <c r="D219" s="1"/>
      <c r="E219" s="1"/>
      <c r="F219" s="1"/>
      <c r="G219" s="7"/>
      <c r="H219" s="7"/>
      <c r="I219" s="1"/>
      <c r="J219" s="1"/>
    </row>
    <row r="220" spans="1:10" ht="15.75" customHeight="1" x14ac:dyDescent="0.25">
      <c r="A220" s="1"/>
      <c r="B220" s="1"/>
      <c r="C220" s="2"/>
      <c r="D220" s="1"/>
      <c r="E220" s="1"/>
      <c r="F220" s="1"/>
      <c r="G220" s="7"/>
      <c r="H220" s="7"/>
      <c r="I220" s="1"/>
      <c r="J220" s="1"/>
    </row>
    <row r="221" spans="1:10" ht="15.75" customHeight="1" x14ac:dyDescent="0.25">
      <c r="A221" s="1"/>
      <c r="B221" s="1"/>
      <c r="C221" s="2"/>
      <c r="D221" s="1"/>
      <c r="E221" s="1"/>
      <c r="F221" s="1"/>
      <c r="G221" s="7"/>
      <c r="H221" s="7"/>
      <c r="I221" s="1"/>
      <c r="J221" s="1"/>
    </row>
    <row r="222" spans="1:10" ht="15.75" customHeight="1" x14ac:dyDescent="0.25">
      <c r="A222" s="1"/>
      <c r="B222" s="1"/>
      <c r="C222" s="2"/>
      <c r="D222" s="1"/>
      <c r="E222" s="1"/>
      <c r="F222" s="1"/>
      <c r="G222" s="7"/>
      <c r="H222" s="7"/>
      <c r="I222" s="1"/>
      <c r="J222" s="1"/>
    </row>
    <row r="223" spans="1:10" ht="15.75" customHeight="1" x14ac:dyDescent="0.25">
      <c r="A223" s="1"/>
      <c r="B223" s="1"/>
      <c r="C223" s="2"/>
      <c r="D223" s="1"/>
      <c r="E223" s="1"/>
      <c r="F223" s="1"/>
      <c r="G223" s="7"/>
      <c r="H223" s="7"/>
      <c r="I223" s="1"/>
      <c r="J223" s="1"/>
    </row>
    <row r="224" spans="1:10" ht="15.75" customHeight="1" x14ac:dyDescent="0.25">
      <c r="A224" s="1"/>
      <c r="B224" s="1"/>
      <c r="C224" s="2"/>
      <c r="D224" s="1"/>
      <c r="E224" s="1"/>
      <c r="F224" s="1"/>
      <c r="G224" s="7"/>
      <c r="H224" s="7"/>
      <c r="I224" s="1"/>
      <c r="J224" s="1"/>
    </row>
    <row r="225" spans="1:10" ht="15.75" customHeight="1" x14ac:dyDescent="0.25">
      <c r="A225" s="1"/>
      <c r="B225" s="1"/>
      <c r="C225" s="2"/>
      <c r="D225" s="1"/>
      <c r="E225" s="1"/>
      <c r="F225" s="1"/>
      <c r="G225" s="7"/>
      <c r="H225" s="7"/>
      <c r="I225" s="1"/>
      <c r="J225" s="1"/>
    </row>
    <row r="226" spans="1:10" ht="15.75" customHeight="1" x14ac:dyDescent="0.25">
      <c r="A226" s="1"/>
      <c r="B226" s="1"/>
      <c r="C226" s="2"/>
      <c r="D226" s="1"/>
      <c r="E226" s="1"/>
      <c r="F226" s="1"/>
      <c r="G226" s="7"/>
      <c r="H226" s="7"/>
      <c r="I226" s="1"/>
      <c r="J226" s="1"/>
    </row>
    <row r="227" spans="1:10" ht="15.75" customHeight="1" x14ac:dyDescent="0.25">
      <c r="A227" s="1"/>
      <c r="B227" s="1"/>
      <c r="C227" s="2"/>
      <c r="D227" s="1"/>
      <c r="E227" s="1"/>
      <c r="F227" s="1"/>
      <c r="G227" s="7"/>
      <c r="H227" s="7"/>
      <c r="I227" s="1"/>
      <c r="J227" s="1"/>
    </row>
    <row r="228" spans="1:10" ht="15.75" customHeight="1" x14ac:dyDescent="0.25">
      <c r="A228" s="1"/>
      <c r="B228" s="1"/>
      <c r="C228" s="2"/>
      <c r="D228" s="1"/>
      <c r="E228" s="1"/>
      <c r="F228" s="1"/>
      <c r="G228" s="7"/>
      <c r="H228" s="7"/>
      <c r="I228" s="1"/>
      <c r="J228" s="1"/>
    </row>
    <row r="229" spans="1:10" ht="15.75" customHeight="1" x14ac:dyDescent="0.25">
      <c r="A229" s="1"/>
      <c r="B229" s="1"/>
      <c r="C229" s="2"/>
      <c r="D229" s="1"/>
      <c r="E229" s="1"/>
      <c r="F229" s="1"/>
      <c r="G229" s="7"/>
      <c r="H229" s="7"/>
      <c r="I229" s="1"/>
      <c r="J229" s="1"/>
    </row>
    <row r="230" spans="1:10" ht="15.75" customHeight="1" x14ac:dyDescent="0.25">
      <c r="A230" s="1"/>
      <c r="B230" s="1"/>
      <c r="C230" s="2"/>
      <c r="D230" s="1"/>
      <c r="E230" s="1"/>
      <c r="F230" s="1"/>
      <c r="G230" s="7"/>
      <c r="H230" s="7"/>
      <c r="I230" s="1"/>
      <c r="J230" s="1"/>
    </row>
    <row r="231" spans="1:10" ht="15.75" customHeight="1" x14ac:dyDescent="0.25">
      <c r="A231" s="1"/>
      <c r="B231" s="1"/>
      <c r="C231" s="2"/>
      <c r="D231" s="1"/>
      <c r="E231" s="1"/>
      <c r="F231" s="1"/>
      <c r="G231" s="7"/>
      <c r="H231" s="7"/>
      <c r="I231" s="1"/>
      <c r="J231" s="1"/>
    </row>
    <row r="232" spans="1:10" ht="15.75" customHeight="1" x14ac:dyDescent="0.25">
      <c r="A232" s="1"/>
      <c r="B232" s="1"/>
      <c r="C232" s="2"/>
      <c r="D232" s="1"/>
      <c r="E232" s="1"/>
      <c r="F232" s="1"/>
      <c r="G232" s="7"/>
      <c r="H232" s="7"/>
      <c r="I232" s="1"/>
      <c r="J232" s="1"/>
    </row>
    <row r="233" spans="1:10" ht="15.75" customHeight="1" x14ac:dyDescent="0.25">
      <c r="A233" s="1"/>
      <c r="B233" s="1"/>
      <c r="C233" s="2"/>
      <c r="D233" s="1"/>
      <c r="E233" s="1"/>
      <c r="F233" s="1"/>
      <c r="G233" s="7"/>
      <c r="H233" s="7"/>
      <c r="I233" s="1"/>
      <c r="J233" s="1"/>
    </row>
    <row r="234" spans="1:10" ht="15.75" customHeight="1" x14ac:dyDescent="0.25">
      <c r="A234" s="1"/>
      <c r="B234" s="1"/>
      <c r="C234" s="2"/>
      <c r="D234" s="1"/>
      <c r="E234" s="1"/>
      <c r="F234" s="1"/>
      <c r="G234" s="7"/>
      <c r="H234" s="7"/>
      <c r="I234" s="1"/>
      <c r="J234" s="1"/>
    </row>
    <row r="235" spans="1:10" ht="15.75" customHeight="1" x14ac:dyDescent="0.25">
      <c r="A235" s="1"/>
      <c r="B235" s="1"/>
      <c r="C235" s="2"/>
      <c r="D235" s="1"/>
      <c r="E235" s="1"/>
      <c r="F235" s="1"/>
      <c r="G235" s="7"/>
      <c r="H235" s="7"/>
      <c r="I235" s="1"/>
      <c r="J235" s="1"/>
    </row>
    <row r="236" spans="1:10" ht="15.75" customHeight="1" x14ac:dyDescent="0.25">
      <c r="A236" s="1"/>
      <c r="B236" s="1"/>
      <c r="C236" s="2"/>
      <c r="D236" s="1"/>
      <c r="E236" s="1"/>
      <c r="F236" s="1"/>
      <c r="G236" s="7"/>
      <c r="H236" s="7"/>
      <c r="I236" s="1"/>
      <c r="J236" s="1"/>
    </row>
    <row r="237" spans="1:10" ht="15.75" customHeight="1" x14ac:dyDescent="0.25">
      <c r="A237" s="1"/>
      <c r="B237" s="1"/>
      <c r="C237" s="2"/>
      <c r="D237" s="1"/>
      <c r="E237" s="1"/>
      <c r="F237" s="1"/>
      <c r="G237" s="7"/>
      <c r="H237" s="7"/>
      <c r="I237" s="1"/>
      <c r="J237" s="1"/>
    </row>
    <row r="238" spans="1:10" ht="15.75" customHeight="1" x14ac:dyDescent="0.25">
      <c r="A238" s="1"/>
      <c r="B238" s="1"/>
      <c r="C238" s="2"/>
      <c r="D238" s="1"/>
      <c r="E238" s="1"/>
      <c r="F238" s="1"/>
      <c r="G238" s="7"/>
      <c r="H238" s="7"/>
      <c r="I238" s="1"/>
      <c r="J238" s="1"/>
    </row>
    <row r="239" spans="1:10" ht="15.75" customHeight="1" x14ac:dyDescent="0.25">
      <c r="A239" s="1"/>
      <c r="B239" s="1"/>
      <c r="C239" s="2"/>
      <c r="D239" s="1"/>
      <c r="E239" s="1"/>
      <c r="F239" s="1"/>
      <c r="G239" s="7"/>
      <c r="H239" s="7"/>
      <c r="I239" s="1"/>
      <c r="J239" s="1"/>
    </row>
    <row r="240" spans="1:10" ht="15.75" customHeight="1" x14ac:dyDescent="0.25">
      <c r="A240" s="1"/>
      <c r="B240" s="1"/>
      <c r="C240" s="2"/>
      <c r="D240" s="1"/>
      <c r="E240" s="1"/>
      <c r="F240" s="1"/>
      <c r="G240" s="7"/>
      <c r="H240" s="7"/>
      <c r="I240" s="1"/>
      <c r="J240" s="1"/>
    </row>
    <row r="241" spans="1:10" ht="15.75" customHeight="1" x14ac:dyDescent="0.25">
      <c r="A241" s="1"/>
      <c r="B241" s="1"/>
      <c r="C241" s="2"/>
      <c r="D241" s="1"/>
      <c r="E241" s="1"/>
      <c r="F241" s="1"/>
      <c r="G241" s="7"/>
      <c r="H241" s="7"/>
      <c r="I241" s="1"/>
      <c r="J241" s="1"/>
    </row>
    <row r="242" spans="1:10" ht="15.75" customHeight="1" x14ac:dyDescent="0.25">
      <c r="A242" s="1"/>
      <c r="B242" s="1"/>
      <c r="C242" s="2"/>
      <c r="D242" s="1"/>
      <c r="E242" s="1"/>
      <c r="F242" s="1"/>
      <c r="G242" s="7"/>
      <c r="H242" s="7"/>
      <c r="I242" s="1"/>
      <c r="J242" s="1"/>
    </row>
    <row r="243" spans="1:10" ht="15.75" customHeight="1" x14ac:dyDescent="0.25">
      <c r="A243" s="1"/>
      <c r="B243" s="1"/>
      <c r="C243" s="2"/>
      <c r="D243" s="1"/>
      <c r="E243" s="1"/>
      <c r="F243" s="1"/>
      <c r="G243" s="7"/>
      <c r="H243" s="7"/>
      <c r="I243" s="1"/>
      <c r="J243" s="1"/>
    </row>
    <row r="244" spans="1:10" ht="15.75" customHeight="1" x14ac:dyDescent="0.25"/>
    <row r="245" spans="1:10" ht="15.75" customHeight="1" x14ac:dyDescent="0.25"/>
    <row r="246" spans="1:10" ht="15.75" customHeight="1" x14ac:dyDescent="0.25"/>
    <row r="247" spans="1:10" ht="15.75" customHeight="1" x14ac:dyDescent="0.25"/>
    <row r="248" spans="1:10" ht="15.75" customHeight="1" x14ac:dyDescent="0.25"/>
    <row r="249" spans="1:10" ht="15.75" customHeight="1" x14ac:dyDescent="0.25"/>
    <row r="250" spans="1:10" ht="15.75" customHeight="1" x14ac:dyDescent="0.25"/>
    <row r="251" spans="1:10" ht="15.75" customHeight="1" x14ac:dyDescent="0.25"/>
    <row r="252" spans="1:10" ht="15.75" customHeight="1" x14ac:dyDescent="0.25"/>
    <row r="253" spans="1:10" ht="15.75" customHeight="1" x14ac:dyDescent="0.25"/>
    <row r="254" spans="1:10" ht="15.75" customHeight="1" x14ac:dyDescent="0.25"/>
    <row r="255" spans="1:10" ht="15.75" customHeight="1" x14ac:dyDescent="0.25"/>
    <row r="256" spans="1:1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8">
    <mergeCell ref="A40:F40"/>
    <mergeCell ref="A42:G42"/>
    <mergeCell ref="H42:J42"/>
    <mergeCell ref="A43:G43"/>
    <mergeCell ref="H43:J43"/>
    <mergeCell ref="H40:J40"/>
    <mergeCell ref="A41:F41"/>
    <mergeCell ref="B35:C35"/>
    <mergeCell ref="I35:J35"/>
    <mergeCell ref="B36:C36"/>
    <mergeCell ref="I36:J36"/>
    <mergeCell ref="A39:G39"/>
    <mergeCell ref="H39:J39"/>
    <mergeCell ref="G12:H12"/>
    <mergeCell ref="G15:H15"/>
    <mergeCell ref="G17:H17"/>
    <mergeCell ref="G25:H25"/>
    <mergeCell ref="D10:D11"/>
    <mergeCell ref="E10:E11"/>
    <mergeCell ref="F10:F11"/>
    <mergeCell ref="G10:G11"/>
    <mergeCell ref="H10:H11"/>
    <mergeCell ref="A12:E12"/>
    <mergeCell ref="B13:C13"/>
    <mergeCell ref="A15:E15"/>
    <mergeCell ref="B16:C16"/>
    <mergeCell ref="B14:C14"/>
    <mergeCell ref="A17:E17"/>
    <mergeCell ref="A4:I4"/>
    <mergeCell ref="A7:J7"/>
    <mergeCell ref="A8:J8"/>
    <mergeCell ref="A9:B9"/>
    <mergeCell ref="A10:A11"/>
    <mergeCell ref="B10:B11"/>
    <mergeCell ref="J10:J11"/>
    <mergeCell ref="C10:C11"/>
    <mergeCell ref="I10:I11"/>
    <mergeCell ref="I32:J32"/>
    <mergeCell ref="I34:J34"/>
    <mergeCell ref="A25:E25"/>
    <mergeCell ref="B26:C26"/>
    <mergeCell ref="I26:J28"/>
    <mergeCell ref="B28:C28"/>
    <mergeCell ref="A29:E29"/>
    <mergeCell ref="I30:J30"/>
    <mergeCell ref="B32:B34"/>
    <mergeCell ref="B27:C27"/>
    <mergeCell ref="B31:C31"/>
  </mergeCells>
  <pageMargins left="0.24" right="0.17" top="0.17" bottom="0.17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82"/>
  <sheetViews>
    <sheetView showGridLines="0" topLeftCell="A22" workbookViewId="0">
      <selection activeCell="I37" sqref="I37"/>
    </sheetView>
  </sheetViews>
  <sheetFormatPr defaultColWidth="12.6640625" defaultRowHeight="15" customHeight="1" x14ac:dyDescent="0.25"/>
  <cols>
    <col min="1" max="1" width="4.109375" customWidth="1"/>
    <col min="2" max="2" width="12.77734375" customWidth="1"/>
    <col min="3" max="3" width="37.109375" customWidth="1"/>
    <col min="4" max="4" width="18.33203125" customWidth="1"/>
    <col min="5" max="5" width="26.109375" customWidth="1"/>
    <col min="6" max="6" width="23.109375" customWidth="1"/>
    <col min="7" max="7" width="11" customWidth="1"/>
    <col min="8" max="8" width="12.109375" customWidth="1"/>
    <col min="9" max="9" width="22.44140625" customWidth="1"/>
    <col min="10" max="10" width="10.77734375" customWidth="1"/>
  </cols>
  <sheetData>
    <row r="1" spans="1:26" ht="13.8" x14ac:dyDescent="0.25">
      <c r="A1" s="1"/>
      <c r="B1" s="1"/>
      <c r="C1" s="2"/>
      <c r="D1" s="1"/>
      <c r="E1" s="1"/>
      <c r="F1" s="1"/>
      <c r="G1" s="7"/>
      <c r="H1" s="7"/>
      <c r="I1" s="1"/>
      <c r="J1" s="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8" x14ac:dyDescent="0.25">
      <c r="A2" s="1"/>
      <c r="B2" s="1"/>
      <c r="C2" s="2"/>
      <c r="D2" s="1"/>
      <c r="E2" s="1"/>
      <c r="F2" s="1"/>
      <c r="G2" s="7"/>
      <c r="H2" s="7"/>
      <c r="I2" s="1"/>
      <c r="J2" s="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8" x14ac:dyDescent="0.25">
      <c r="A3" s="1"/>
      <c r="B3" s="1"/>
      <c r="C3" s="2"/>
      <c r="D3" s="1"/>
      <c r="E3" s="1"/>
      <c r="F3" s="1"/>
      <c r="G3" s="7"/>
      <c r="H3" s="7"/>
      <c r="I3" s="1"/>
      <c r="J3" s="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1" customHeight="1" x14ac:dyDescent="0.25">
      <c r="A4" s="148"/>
      <c r="B4" s="149"/>
      <c r="C4" s="149"/>
      <c r="D4" s="149"/>
      <c r="E4" s="149"/>
      <c r="F4" s="149"/>
      <c r="G4" s="149"/>
      <c r="H4" s="149"/>
      <c r="I4" s="149"/>
      <c r="J4" s="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1" customHeight="1" x14ac:dyDescent="0.25">
      <c r="A5" s="3"/>
      <c r="B5" s="1"/>
      <c r="C5" s="2"/>
      <c r="D5" s="1"/>
      <c r="E5" s="1"/>
      <c r="F5" s="1"/>
      <c r="G5" s="1"/>
      <c r="H5" s="1"/>
      <c r="I5" s="1"/>
      <c r="J5" s="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 x14ac:dyDescent="0.25">
      <c r="A6" s="3"/>
      <c r="B6" s="1"/>
      <c r="C6" s="2"/>
      <c r="D6" s="1"/>
      <c r="E6" s="1"/>
      <c r="F6" s="1"/>
      <c r="G6" s="1"/>
      <c r="H6" s="1"/>
      <c r="I6" s="1"/>
      <c r="J6" s="1"/>
      <c r="K6" s="9"/>
      <c r="L6" s="9"/>
      <c r="M6" s="9"/>
      <c r="N6" s="9"/>
      <c r="O6" s="9"/>
      <c r="P6" s="9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42" customHeight="1" x14ac:dyDescent="0.3">
      <c r="A7" s="150" t="s">
        <v>89</v>
      </c>
      <c r="B7" s="149"/>
      <c r="C7" s="149"/>
      <c r="D7" s="149"/>
      <c r="E7" s="149"/>
      <c r="F7" s="149"/>
      <c r="G7" s="52"/>
      <c r="H7" s="52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1" customHeight="1" x14ac:dyDescent="0.25">
      <c r="A8" s="106" t="s">
        <v>56</v>
      </c>
      <c r="B8" s="107" t="s">
        <v>57</v>
      </c>
      <c r="C8" s="107" t="s">
        <v>58</v>
      </c>
      <c r="D8" s="107" t="s">
        <v>59</v>
      </c>
      <c r="E8" s="108" t="s">
        <v>60</v>
      </c>
      <c r="F8" s="108" t="s">
        <v>61</v>
      </c>
      <c r="G8" s="52"/>
      <c r="H8" s="52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1" customHeight="1" x14ac:dyDescent="0.25">
      <c r="A9" s="151" t="s">
        <v>62</v>
      </c>
      <c r="B9" s="137"/>
      <c r="C9" s="137"/>
      <c r="D9" s="137"/>
      <c r="E9" s="137"/>
      <c r="F9" s="135"/>
      <c r="G9" s="52"/>
      <c r="H9" s="52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7.6" x14ac:dyDescent="0.25">
      <c r="A10" s="58">
        <v>1</v>
      </c>
      <c r="B10" s="59" t="s">
        <v>114</v>
      </c>
      <c r="C10" s="152" t="s">
        <v>90</v>
      </c>
      <c r="D10" s="144"/>
      <c r="E10" s="145"/>
      <c r="F10" s="60" t="s">
        <v>63</v>
      </c>
      <c r="G10" s="52"/>
      <c r="H10" s="5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1" customHeight="1" x14ac:dyDescent="0.25">
      <c r="A11" s="140" t="s">
        <v>64</v>
      </c>
      <c r="B11" s="137"/>
      <c r="C11" s="137"/>
      <c r="D11" s="137"/>
      <c r="E11" s="137"/>
      <c r="F11" s="135"/>
      <c r="G11" s="52"/>
      <c r="H11" s="52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30.75" customHeight="1" x14ac:dyDescent="0.25">
      <c r="A12" s="58">
        <v>1</v>
      </c>
      <c r="B12" s="61">
        <v>0.22916666666666666</v>
      </c>
      <c r="C12" s="143" t="s">
        <v>129</v>
      </c>
      <c r="D12" s="144"/>
      <c r="E12" s="145"/>
      <c r="F12" s="62"/>
      <c r="G12" s="52"/>
      <c r="H12" s="52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3.8" x14ac:dyDescent="0.25">
      <c r="A13" s="58">
        <v>3</v>
      </c>
      <c r="B13" s="63">
        <v>0.375</v>
      </c>
      <c r="C13" s="136" t="s">
        <v>91</v>
      </c>
      <c r="D13" s="135"/>
      <c r="E13" s="66"/>
      <c r="F13" s="64"/>
      <c r="G13" s="52"/>
      <c r="H13" s="52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3.8" x14ac:dyDescent="0.25">
      <c r="A14" s="58">
        <v>4</v>
      </c>
      <c r="B14" s="67" t="s">
        <v>80</v>
      </c>
      <c r="C14" s="138" t="s">
        <v>92</v>
      </c>
      <c r="D14" s="137"/>
      <c r="E14" s="135"/>
      <c r="F14" s="69"/>
      <c r="G14" s="52"/>
      <c r="H14" s="52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21" customHeight="1" x14ac:dyDescent="0.25">
      <c r="A15" s="58">
        <v>5</v>
      </c>
      <c r="B15" s="67" t="s">
        <v>81</v>
      </c>
      <c r="C15" s="68" t="s">
        <v>82</v>
      </c>
      <c r="D15" s="68"/>
      <c r="E15" s="68"/>
      <c r="F15" s="69"/>
      <c r="G15" s="52"/>
      <c r="H15" s="5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1" customHeight="1" x14ac:dyDescent="0.25">
      <c r="A16" s="58">
        <v>6</v>
      </c>
      <c r="B16" s="100" t="s">
        <v>83</v>
      </c>
      <c r="C16" s="146" t="s">
        <v>65</v>
      </c>
      <c r="D16" s="147"/>
      <c r="E16" s="147"/>
      <c r="F16" s="69"/>
      <c r="G16" s="52"/>
      <c r="H16" s="52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1" customHeight="1" x14ac:dyDescent="0.25">
      <c r="A17" s="58">
        <v>7</v>
      </c>
      <c r="B17" s="65" t="s">
        <v>93</v>
      </c>
      <c r="C17" s="136" t="s">
        <v>130</v>
      </c>
      <c r="D17" s="137"/>
      <c r="E17" s="137"/>
      <c r="F17" s="101"/>
      <c r="G17" s="52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1" customHeight="1" x14ac:dyDescent="0.25">
      <c r="A18" s="58">
        <v>8</v>
      </c>
      <c r="B18" s="65" t="s">
        <v>94</v>
      </c>
      <c r="C18" s="136" t="s">
        <v>95</v>
      </c>
      <c r="D18" s="137"/>
      <c r="E18" s="137"/>
      <c r="F18" s="139"/>
      <c r="G18" s="52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1" customHeight="1" x14ac:dyDescent="0.25">
      <c r="A19" s="58">
        <v>9</v>
      </c>
      <c r="B19" s="65" t="s">
        <v>96</v>
      </c>
      <c r="C19" s="136" t="s">
        <v>97</v>
      </c>
      <c r="D19" s="137"/>
      <c r="E19" s="135"/>
      <c r="F19" s="73"/>
      <c r="G19" s="52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21" customHeight="1" x14ac:dyDescent="0.25">
      <c r="A20" s="58">
        <v>10</v>
      </c>
      <c r="B20" s="65" t="s">
        <v>98</v>
      </c>
      <c r="C20" s="136" t="s">
        <v>67</v>
      </c>
      <c r="D20" s="137"/>
      <c r="E20" s="137"/>
      <c r="F20" s="139"/>
      <c r="G20" s="52"/>
      <c r="H20" s="52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21" customHeight="1" x14ac:dyDescent="0.25">
      <c r="A21" s="140" t="s">
        <v>68</v>
      </c>
      <c r="B21" s="137"/>
      <c r="C21" s="137"/>
      <c r="D21" s="137"/>
      <c r="E21" s="137"/>
      <c r="F21" s="135"/>
      <c r="G21" s="52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21" customHeight="1" x14ac:dyDescent="0.25">
      <c r="A22" s="74">
        <v>1</v>
      </c>
      <c r="B22" s="65" t="s">
        <v>69</v>
      </c>
      <c r="C22" s="71" t="s">
        <v>70</v>
      </c>
      <c r="D22" s="71" t="s">
        <v>71</v>
      </c>
      <c r="E22" s="134" t="s">
        <v>72</v>
      </c>
      <c r="F22" s="139"/>
      <c r="G22" s="52"/>
      <c r="H22" s="5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1" customHeight="1" x14ac:dyDescent="0.25">
      <c r="A23" s="74">
        <v>4</v>
      </c>
      <c r="B23" s="65" t="s">
        <v>99</v>
      </c>
      <c r="C23" s="136" t="s">
        <v>115</v>
      </c>
      <c r="D23" s="137"/>
      <c r="E23" s="135"/>
      <c r="F23" s="66"/>
      <c r="G23" s="52"/>
      <c r="H23" s="5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21" customHeight="1" x14ac:dyDescent="0.25">
      <c r="A24" s="74">
        <v>6</v>
      </c>
      <c r="B24" s="65" t="s">
        <v>73</v>
      </c>
      <c r="C24" s="136" t="s">
        <v>100</v>
      </c>
      <c r="D24" s="137"/>
      <c r="E24" s="135"/>
      <c r="F24" s="75"/>
      <c r="G24" s="52"/>
      <c r="H24" s="5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3.8" x14ac:dyDescent="0.25">
      <c r="A25" s="74">
        <v>7</v>
      </c>
      <c r="B25" s="65" t="s">
        <v>101</v>
      </c>
      <c r="C25" s="136" t="s">
        <v>102</v>
      </c>
      <c r="D25" s="137"/>
      <c r="E25" s="135"/>
      <c r="F25" s="66"/>
      <c r="G25" s="52"/>
      <c r="H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3.8" x14ac:dyDescent="0.25">
      <c r="A26" s="74">
        <v>9</v>
      </c>
      <c r="B26" s="77" t="s">
        <v>74</v>
      </c>
      <c r="C26" s="78" t="s">
        <v>26</v>
      </c>
      <c r="D26" s="141"/>
      <c r="E26" s="142"/>
      <c r="F26" s="79"/>
      <c r="G26" s="52"/>
      <c r="H26" s="5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1" customHeight="1" x14ac:dyDescent="0.25">
      <c r="A27" s="140" t="s">
        <v>75</v>
      </c>
      <c r="B27" s="137"/>
      <c r="C27" s="137"/>
      <c r="D27" s="137"/>
      <c r="E27" s="137"/>
      <c r="F27" s="135"/>
      <c r="G27" s="52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1" customHeight="1" x14ac:dyDescent="0.25">
      <c r="A28" s="80">
        <v>1</v>
      </c>
      <c r="B28" s="65" t="s">
        <v>76</v>
      </c>
      <c r="C28" s="71" t="s">
        <v>70</v>
      </c>
      <c r="D28" s="71" t="s">
        <v>71</v>
      </c>
      <c r="E28" s="134" t="s">
        <v>77</v>
      </c>
      <c r="F28" s="135"/>
      <c r="G28" s="52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3.8" x14ac:dyDescent="0.25">
      <c r="A29" s="80">
        <v>2</v>
      </c>
      <c r="B29" s="63">
        <v>0.375</v>
      </c>
      <c r="C29" s="136" t="s">
        <v>116</v>
      </c>
      <c r="D29" s="137"/>
      <c r="E29" s="135"/>
      <c r="F29" s="66"/>
      <c r="G29" s="52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1" customHeight="1" x14ac:dyDescent="0.25">
      <c r="A30" s="80">
        <v>3</v>
      </c>
      <c r="B30" s="63">
        <v>0.5</v>
      </c>
      <c r="C30" s="71" t="s">
        <v>117</v>
      </c>
      <c r="D30" s="81"/>
      <c r="E30" s="72"/>
      <c r="F30" s="72"/>
      <c r="G30" s="52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1" customHeight="1" x14ac:dyDescent="0.25">
      <c r="A31" s="80">
        <v>4</v>
      </c>
      <c r="B31" s="84">
        <v>0.75</v>
      </c>
      <c r="C31" s="138" t="s">
        <v>118</v>
      </c>
      <c r="D31" s="135"/>
      <c r="E31" s="82"/>
      <c r="F31" s="83"/>
      <c r="G31" s="52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1" customHeight="1" x14ac:dyDescent="0.25">
      <c r="A32" s="80">
        <v>8</v>
      </c>
      <c r="B32" s="84">
        <v>0.91666666666666663</v>
      </c>
      <c r="C32" s="68" t="s">
        <v>107</v>
      </c>
      <c r="D32" s="85"/>
      <c r="E32" s="83" t="s">
        <v>79</v>
      </c>
      <c r="F32" s="86"/>
      <c r="G32" s="52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21" customHeight="1" x14ac:dyDescent="0.25">
      <c r="A33" s="54"/>
      <c r="B33" s="53"/>
      <c r="C33" s="53"/>
      <c r="D33" s="53"/>
      <c r="E33" s="76"/>
      <c r="F33" s="76"/>
      <c r="G33" s="52"/>
      <c r="H33" s="52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21" customHeight="1" x14ac:dyDescent="0.25">
      <c r="A34" s="54"/>
      <c r="B34" s="53"/>
      <c r="C34" s="53"/>
      <c r="D34" s="53"/>
      <c r="E34" s="76"/>
      <c r="F34" s="76"/>
      <c r="G34" s="52"/>
      <c r="H34" s="52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21" customHeight="1" x14ac:dyDescent="0.25">
      <c r="A35" s="54"/>
      <c r="B35" s="53"/>
      <c r="C35" s="53"/>
      <c r="D35" s="53"/>
      <c r="E35" s="76"/>
      <c r="F35" s="76"/>
      <c r="G35" s="52"/>
      <c r="H35" s="5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21" customHeight="1" x14ac:dyDescent="0.25">
      <c r="A36" s="54"/>
      <c r="B36" s="53"/>
      <c r="C36" s="53"/>
      <c r="D36" s="53"/>
      <c r="E36" s="76"/>
      <c r="F36" s="76"/>
      <c r="G36" s="52"/>
      <c r="H36" s="52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1" customHeight="1" x14ac:dyDescent="0.25">
      <c r="A37" s="54"/>
      <c r="B37" s="53"/>
      <c r="C37" s="53"/>
      <c r="D37" s="53"/>
      <c r="E37" s="76"/>
      <c r="F37" s="76"/>
      <c r="G37" s="52"/>
      <c r="H37" s="52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21" customHeight="1" x14ac:dyDescent="0.25">
      <c r="A38" s="54"/>
      <c r="B38" s="53"/>
      <c r="C38" s="53"/>
      <c r="D38" s="53"/>
      <c r="E38" s="76"/>
      <c r="F38" s="76"/>
      <c r="G38" s="52"/>
      <c r="H38" s="52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21" customHeight="1" x14ac:dyDescent="0.25">
      <c r="A39" s="54"/>
      <c r="B39" s="53"/>
      <c r="C39" s="53"/>
      <c r="D39" s="53"/>
      <c r="E39" s="76"/>
      <c r="F39" s="76"/>
      <c r="G39" s="52"/>
      <c r="H39" s="52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21" customHeight="1" x14ac:dyDescent="0.25">
      <c r="A40" s="54"/>
      <c r="B40" s="53"/>
      <c r="C40" s="53"/>
      <c r="D40" s="53"/>
      <c r="E40" s="76"/>
      <c r="F40" s="76"/>
      <c r="G40" s="52"/>
      <c r="H40" s="52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21" customHeight="1" x14ac:dyDescent="0.25">
      <c r="A41" s="54"/>
      <c r="B41" s="53"/>
      <c r="C41" s="53"/>
      <c r="D41" s="53"/>
      <c r="E41" s="76"/>
      <c r="F41" s="76"/>
      <c r="G41" s="52"/>
      <c r="H41" s="52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 x14ac:dyDescent="0.25">
      <c r="A42" s="53"/>
      <c r="B42" s="53"/>
      <c r="C42" s="53"/>
      <c r="D42" s="53"/>
      <c r="E42" s="53"/>
      <c r="F42" s="53"/>
      <c r="G42" s="52"/>
      <c r="H42" s="52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 x14ac:dyDescent="0.25">
      <c r="A43" s="53"/>
      <c r="B43" s="53"/>
      <c r="C43" s="53"/>
      <c r="D43" s="53"/>
      <c r="E43" s="53"/>
      <c r="F43" s="53"/>
      <c r="G43" s="52"/>
      <c r="H43" s="52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 x14ac:dyDescent="0.25">
      <c r="A44" s="53"/>
      <c r="B44" s="53"/>
      <c r="C44" s="53"/>
      <c r="D44" s="53"/>
      <c r="E44" s="53"/>
      <c r="F44" s="53"/>
      <c r="G44" s="52"/>
      <c r="H44" s="52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 x14ac:dyDescent="0.25">
      <c r="A45" s="53"/>
      <c r="B45" s="53"/>
      <c r="C45" s="53"/>
      <c r="D45" s="53"/>
      <c r="E45" s="53"/>
      <c r="F45" s="53"/>
      <c r="G45" s="52"/>
      <c r="H45" s="52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 x14ac:dyDescent="0.25">
      <c r="A46" s="53"/>
      <c r="B46" s="53"/>
      <c r="C46" s="53"/>
      <c r="D46" s="53"/>
      <c r="E46" s="53"/>
      <c r="F46" s="53"/>
      <c r="G46" s="52"/>
      <c r="H46" s="52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25">
      <c r="A47" s="53"/>
      <c r="B47" s="53"/>
      <c r="C47" s="53"/>
      <c r="D47" s="53"/>
      <c r="E47" s="53"/>
      <c r="F47" s="53"/>
      <c r="G47" s="52"/>
      <c r="H47" s="52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 x14ac:dyDescent="0.25">
      <c r="A48" s="53"/>
      <c r="B48" s="53"/>
      <c r="C48" s="53"/>
      <c r="D48" s="53"/>
      <c r="E48" s="53"/>
      <c r="F48" s="53"/>
      <c r="G48" s="52"/>
      <c r="H48" s="52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 x14ac:dyDescent="0.25">
      <c r="A49" s="53"/>
      <c r="B49" s="53"/>
      <c r="C49" s="53"/>
      <c r="D49" s="53"/>
      <c r="E49" s="53"/>
      <c r="F49" s="53"/>
      <c r="G49" s="52"/>
      <c r="H49" s="52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 x14ac:dyDescent="0.25">
      <c r="A50" s="53"/>
      <c r="B50" s="53"/>
      <c r="C50" s="53"/>
      <c r="D50" s="53"/>
      <c r="E50" s="53"/>
      <c r="F50" s="53"/>
      <c r="G50" s="52"/>
      <c r="H50" s="52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 x14ac:dyDescent="0.25">
      <c r="A51" s="53"/>
      <c r="B51" s="53"/>
      <c r="C51" s="53"/>
      <c r="D51" s="53"/>
      <c r="E51" s="53"/>
      <c r="F51" s="53"/>
      <c r="G51" s="52"/>
      <c r="H51" s="52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 x14ac:dyDescent="0.25">
      <c r="A52" s="53"/>
      <c r="B52" s="53"/>
      <c r="C52" s="53"/>
      <c r="D52" s="53"/>
      <c r="E52" s="53"/>
      <c r="F52" s="53"/>
      <c r="G52" s="52"/>
      <c r="H52" s="52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 x14ac:dyDescent="0.25">
      <c r="A53" s="53"/>
      <c r="B53" s="53"/>
      <c r="C53" s="53"/>
      <c r="D53" s="53"/>
      <c r="E53" s="53"/>
      <c r="F53" s="53"/>
      <c r="G53" s="52"/>
      <c r="H53" s="52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 x14ac:dyDescent="0.25">
      <c r="A54" s="53"/>
      <c r="B54" s="53"/>
      <c r="C54" s="53"/>
      <c r="D54" s="53"/>
      <c r="E54" s="53"/>
      <c r="F54" s="53"/>
      <c r="G54" s="52"/>
      <c r="H54" s="52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 x14ac:dyDescent="0.25">
      <c r="A55" s="53"/>
      <c r="B55" s="53"/>
      <c r="C55" s="53"/>
      <c r="D55" s="53"/>
      <c r="E55" s="53"/>
      <c r="F55" s="53"/>
      <c r="G55" s="52"/>
      <c r="H55" s="52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25">
      <c r="A56" s="53"/>
      <c r="B56" s="53"/>
      <c r="C56" s="53"/>
      <c r="D56" s="53"/>
      <c r="E56" s="53"/>
      <c r="F56" s="53"/>
      <c r="G56" s="52"/>
      <c r="H56" s="52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25">
      <c r="A57" s="53"/>
      <c r="B57" s="53"/>
      <c r="C57" s="53"/>
      <c r="D57" s="53"/>
      <c r="E57" s="53"/>
      <c r="F57" s="53"/>
      <c r="G57" s="52"/>
      <c r="H57" s="52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25">
      <c r="A58" s="53"/>
      <c r="B58" s="53"/>
      <c r="C58" s="53"/>
      <c r="D58" s="53"/>
      <c r="E58" s="53"/>
      <c r="F58" s="53"/>
      <c r="G58" s="52"/>
      <c r="H58" s="52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 x14ac:dyDescent="0.25">
      <c r="A59" s="53"/>
      <c r="B59" s="53"/>
      <c r="C59" s="53"/>
      <c r="D59" s="53"/>
      <c r="E59" s="53"/>
      <c r="F59" s="53"/>
      <c r="G59" s="52"/>
      <c r="H59" s="52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25">
      <c r="A60" s="53"/>
      <c r="B60" s="53"/>
      <c r="C60" s="53"/>
      <c r="D60" s="53"/>
      <c r="E60" s="53"/>
      <c r="F60" s="53"/>
      <c r="G60" s="52"/>
      <c r="H60" s="52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 x14ac:dyDescent="0.25">
      <c r="A61" s="53"/>
      <c r="B61" s="53"/>
      <c r="C61" s="53"/>
      <c r="D61" s="53"/>
      <c r="E61" s="53"/>
      <c r="F61" s="53"/>
      <c r="G61" s="52"/>
      <c r="H61" s="52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25">
      <c r="A62" s="53"/>
      <c r="B62" s="53"/>
      <c r="C62" s="53"/>
      <c r="D62" s="53"/>
      <c r="E62" s="53"/>
      <c r="F62" s="53"/>
      <c r="G62" s="52"/>
      <c r="H62" s="52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25">
      <c r="A63" s="53"/>
      <c r="B63" s="53"/>
      <c r="C63" s="53"/>
      <c r="D63" s="53"/>
      <c r="E63" s="53"/>
      <c r="F63" s="53"/>
      <c r="G63" s="52"/>
      <c r="H63" s="52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25">
      <c r="A64" s="53"/>
      <c r="B64" s="53"/>
      <c r="C64" s="53"/>
      <c r="D64" s="53"/>
      <c r="E64" s="53"/>
      <c r="F64" s="53"/>
      <c r="G64" s="52"/>
      <c r="H64" s="52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25">
      <c r="A65" s="53"/>
      <c r="B65" s="53"/>
      <c r="C65" s="53"/>
      <c r="D65" s="53"/>
      <c r="E65" s="53"/>
      <c r="F65" s="53"/>
      <c r="G65" s="52"/>
      <c r="H65" s="52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25">
      <c r="A66" s="53"/>
      <c r="B66" s="53"/>
      <c r="C66" s="53"/>
      <c r="D66" s="53"/>
      <c r="E66" s="53"/>
      <c r="F66" s="53"/>
      <c r="G66" s="52"/>
      <c r="H66" s="52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25">
      <c r="A67" s="53"/>
      <c r="B67" s="53"/>
      <c r="C67" s="53"/>
      <c r="D67" s="53"/>
      <c r="E67" s="53"/>
      <c r="F67" s="53"/>
      <c r="G67" s="52"/>
      <c r="H67" s="52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25">
      <c r="A68" s="53"/>
      <c r="B68" s="53"/>
      <c r="C68" s="53"/>
      <c r="D68" s="53"/>
      <c r="E68" s="53"/>
      <c r="F68" s="53"/>
      <c r="G68" s="52"/>
      <c r="H68" s="52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25">
      <c r="A69" s="53"/>
      <c r="B69" s="53"/>
      <c r="C69" s="53"/>
      <c r="D69" s="53"/>
      <c r="E69" s="53"/>
      <c r="F69" s="53"/>
      <c r="G69" s="52"/>
      <c r="H69" s="52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25">
      <c r="A70" s="53"/>
      <c r="B70" s="53"/>
      <c r="C70" s="53"/>
      <c r="D70" s="53"/>
      <c r="E70" s="53"/>
      <c r="F70" s="53"/>
      <c r="G70" s="52"/>
      <c r="H70" s="52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25">
      <c r="A71" s="53"/>
      <c r="B71" s="53"/>
      <c r="C71" s="53"/>
      <c r="D71" s="53"/>
      <c r="E71" s="53"/>
      <c r="F71" s="53"/>
      <c r="G71" s="52"/>
      <c r="H71" s="52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 x14ac:dyDescent="0.25">
      <c r="A72" s="53"/>
      <c r="B72" s="53"/>
      <c r="C72" s="53"/>
      <c r="D72" s="53"/>
      <c r="E72" s="53"/>
      <c r="F72" s="53"/>
      <c r="G72" s="52"/>
      <c r="H72" s="52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 x14ac:dyDescent="0.25">
      <c r="A73" s="53"/>
      <c r="B73" s="53"/>
      <c r="C73" s="53"/>
      <c r="D73" s="53"/>
      <c r="E73" s="53"/>
      <c r="F73" s="53"/>
      <c r="G73" s="52"/>
      <c r="H73" s="52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 x14ac:dyDescent="0.25">
      <c r="A74" s="53"/>
      <c r="B74" s="53"/>
      <c r="C74" s="53"/>
      <c r="D74" s="53"/>
      <c r="E74" s="53"/>
      <c r="F74" s="53"/>
      <c r="G74" s="52"/>
      <c r="H74" s="52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 x14ac:dyDescent="0.25">
      <c r="A75" s="53"/>
      <c r="B75" s="53"/>
      <c r="C75" s="53"/>
      <c r="D75" s="53"/>
      <c r="E75" s="53"/>
      <c r="F75" s="53"/>
      <c r="G75" s="52"/>
      <c r="H75" s="52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 x14ac:dyDescent="0.25">
      <c r="A76" s="53"/>
      <c r="B76" s="53"/>
      <c r="C76" s="53"/>
      <c r="D76" s="53"/>
      <c r="E76" s="53"/>
      <c r="F76" s="53"/>
      <c r="G76" s="52"/>
      <c r="H76" s="52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 x14ac:dyDescent="0.25">
      <c r="A77" s="53"/>
      <c r="B77" s="53"/>
      <c r="C77" s="53"/>
      <c r="D77" s="53"/>
      <c r="E77" s="53"/>
      <c r="F77" s="53"/>
      <c r="G77" s="52"/>
      <c r="H77" s="52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 x14ac:dyDescent="0.25">
      <c r="A78" s="53"/>
      <c r="B78" s="53"/>
      <c r="C78" s="53"/>
      <c r="D78" s="53"/>
      <c r="E78" s="53"/>
      <c r="F78" s="53"/>
      <c r="G78" s="52"/>
      <c r="H78" s="52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 x14ac:dyDescent="0.25">
      <c r="A79" s="53"/>
      <c r="B79" s="53"/>
      <c r="C79" s="53"/>
      <c r="D79" s="53"/>
      <c r="E79" s="53"/>
      <c r="F79" s="53"/>
      <c r="G79" s="52"/>
      <c r="H79" s="52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 x14ac:dyDescent="0.25">
      <c r="A80" s="53"/>
      <c r="B80" s="53"/>
      <c r="C80" s="53"/>
      <c r="D80" s="53"/>
      <c r="E80" s="53"/>
      <c r="F80" s="53"/>
      <c r="G80" s="52"/>
      <c r="H80" s="52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 x14ac:dyDescent="0.25">
      <c r="A81" s="53"/>
      <c r="B81" s="53"/>
      <c r="C81" s="53"/>
      <c r="D81" s="53"/>
      <c r="E81" s="53"/>
      <c r="F81" s="53"/>
      <c r="G81" s="52"/>
      <c r="H81" s="52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 x14ac:dyDescent="0.25">
      <c r="A82" s="53"/>
      <c r="B82" s="53"/>
      <c r="C82" s="53"/>
      <c r="D82" s="53"/>
      <c r="E82" s="53"/>
      <c r="F82" s="53"/>
      <c r="G82" s="52"/>
      <c r="H82" s="52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 x14ac:dyDescent="0.25">
      <c r="A83" s="53"/>
      <c r="B83" s="53"/>
      <c r="C83" s="53"/>
      <c r="D83" s="53"/>
      <c r="E83" s="53"/>
      <c r="F83" s="53"/>
      <c r="G83" s="52"/>
      <c r="H83" s="52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 x14ac:dyDescent="0.25">
      <c r="A84" s="53"/>
      <c r="B84" s="53"/>
      <c r="C84" s="53"/>
      <c r="D84" s="53"/>
      <c r="E84" s="53"/>
      <c r="F84" s="53"/>
      <c r="G84" s="52"/>
      <c r="H84" s="52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 x14ac:dyDescent="0.25">
      <c r="A85" s="53"/>
      <c r="B85" s="53"/>
      <c r="C85" s="53"/>
      <c r="D85" s="53"/>
      <c r="E85" s="53"/>
      <c r="F85" s="53"/>
      <c r="G85" s="52"/>
      <c r="H85" s="52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 x14ac:dyDescent="0.25">
      <c r="A86" s="53"/>
      <c r="B86" s="53"/>
      <c r="C86" s="53"/>
      <c r="D86" s="53"/>
      <c r="E86" s="53"/>
      <c r="F86" s="53"/>
      <c r="G86" s="52"/>
      <c r="H86" s="52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 x14ac:dyDescent="0.25">
      <c r="A87" s="53"/>
      <c r="B87" s="53"/>
      <c r="C87" s="53"/>
      <c r="D87" s="53"/>
      <c r="E87" s="53"/>
      <c r="F87" s="53"/>
      <c r="G87" s="52"/>
      <c r="H87" s="52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 x14ac:dyDescent="0.25">
      <c r="A88" s="53"/>
      <c r="B88" s="53"/>
      <c r="C88" s="53"/>
      <c r="D88" s="53"/>
      <c r="E88" s="53"/>
      <c r="F88" s="53"/>
      <c r="G88" s="52"/>
      <c r="H88" s="52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 x14ac:dyDescent="0.25">
      <c r="A89" s="53"/>
      <c r="B89" s="53"/>
      <c r="C89" s="53"/>
      <c r="D89" s="53"/>
      <c r="E89" s="53"/>
      <c r="F89" s="53"/>
      <c r="G89" s="52"/>
      <c r="H89" s="52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 x14ac:dyDescent="0.25">
      <c r="A90" s="53"/>
      <c r="B90" s="53"/>
      <c r="C90" s="53"/>
      <c r="D90" s="53"/>
      <c r="E90" s="53"/>
      <c r="F90" s="53"/>
      <c r="G90" s="52"/>
      <c r="H90" s="52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5">
      <c r="A91" s="53"/>
      <c r="B91" s="53"/>
      <c r="C91" s="53"/>
      <c r="D91" s="53"/>
      <c r="E91" s="53"/>
      <c r="F91" s="53"/>
      <c r="G91" s="52"/>
      <c r="H91" s="52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5">
      <c r="A92" s="53"/>
      <c r="B92" s="53"/>
      <c r="C92" s="53"/>
      <c r="D92" s="53"/>
      <c r="E92" s="53"/>
      <c r="F92" s="53"/>
      <c r="G92" s="52"/>
      <c r="H92" s="52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5">
      <c r="A93" s="53"/>
      <c r="B93" s="53"/>
      <c r="C93" s="53"/>
      <c r="D93" s="53"/>
      <c r="E93" s="53"/>
      <c r="F93" s="53"/>
      <c r="G93" s="52"/>
      <c r="H93" s="52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5">
      <c r="A94" s="53"/>
      <c r="B94" s="53"/>
      <c r="C94" s="53"/>
      <c r="D94" s="53"/>
      <c r="E94" s="53"/>
      <c r="F94" s="53"/>
      <c r="G94" s="52"/>
      <c r="H94" s="52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5">
      <c r="A95" s="53"/>
      <c r="B95" s="53"/>
      <c r="C95" s="53"/>
      <c r="D95" s="53"/>
      <c r="E95" s="53"/>
      <c r="F95" s="53"/>
      <c r="G95" s="52"/>
      <c r="H95" s="52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5">
      <c r="A96" s="53"/>
      <c r="B96" s="53"/>
      <c r="C96" s="53"/>
      <c r="D96" s="53"/>
      <c r="E96" s="53"/>
      <c r="F96" s="53"/>
      <c r="G96" s="52"/>
      <c r="H96" s="52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5">
      <c r="A97" s="53"/>
      <c r="B97" s="53"/>
      <c r="C97" s="53"/>
      <c r="D97" s="53"/>
      <c r="E97" s="53"/>
      <c r="F97" s="53"/>
      <c r="G97" s="52"/>
      <c r="H97" s="52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5">
      <c r="A98" s="53"/>
      <c r="B98" s="53"/>
      <c r="C98" s="53"/>
      <c r="D98" s="53"/>
      <c r="E98" s="53"/>
      <c r="F98" s="53"/>
      <c r="G98" s="52"/>
      <c r="H98" s="52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5">
      <c r="A99" s="53"/>
      <c r="B99" s="53"/>
      <c r="C99" s="53"/>
      <c r="D99" s="53"/>
      <c r="E99" s="53"/>
      <c r="F99" s="53"/>
      <c r="G99" s="52"/>
      <c r="H99" s="52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5">
      <c r="A100" s="53"/>
      <c r="B100" s="53"/>
      <c r="C100" s="53"/>
      <c r="D100" s="53"/>
      <c r="E100" s="53"/>
      <c r="F100" s="53"/>
      <c r="G100" s="52"/>
      <c r="H100" s="52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5">
      <c r="A101" s="53"/>
      <c r="B101" s="53"/>
      <c r="C101" s="53"/>
      <c r="D101" s="53"/>
      <c r="E101" s="53"/>
      <c r="F101" s="53"/>
      <c r="G101" s="52"/>
      <c r="H101" s="52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5">
      <c r="A102" s="53"/>
      <c r="B102" s="53"/>
      <c r="C102" s="53"/>
      <c r="D102" s="53"/>
      <c r="E102" s="53"/>
      <c r="F102" s="53"/>
      <c r="G102" s="52"/>
      <c r="H102" s="52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5">
      <c r="A103" s="53"/>
      <c r="B103" s="53"/>
      <c r="C103" s="53"/>
      <c r="D103" s="53"/>
      <c r="E103" s="53"/>
      <c r="F103" s="53"/>
      <c r="G103" s="52"/>
      <c r="H103" s="52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5">
      <c r="A104" s="53"/>
      <c r="B104" s="53"/>
      <c r="C104" s="53"/>
      <c r="D104" s="53"/>
      <c r="E104" s="53"/>
      <c r="F104" s="53"/>
      <c r="G104" s="52"/>
      <c r="H104" s="52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5">
      <c r="A105" s="53"/>
      <c r="B105" s="53"/>
      <c r="C105" s="53"/>
      <c r="D105" s="53"/>
      <c r="E105" s="53"/>
      <c r="F105" s="53"/>
      <c r="G105" s="52"/>
      <c r="H105" s="52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5">
      <c r="A106" s="53"/>
      <c r="B106" s="53"/>
      <c r="C106" s="53"/>
      <c r="D106" s="53"/>
      <c r="E106" s="53"/>
      <c r="F106" s="53"/>
      <c r="G106" s="52"/>
      <c r="H106" s="52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5">
      <c r="A107" s="53"/>
      <c r="B107" s="53"/>
      <c r="C107" s="53"/>
      <c r="D107" s="53"/>
      <c r="E107" s="53"/>
      <c r="F107" s="53"/>
      <c r="G107" s="52"/>
      <c r="H107" s="52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25">
      <c r="A108" s="53"/>
      <c r="B108" s="53"/>
      <c r="C108" s="53"/>
      <c r="D108" s="53"/>
      <c r="E108" s="53"/>
      <c r="F108" s="53"/>
      <c r="G108" s="52"/>
      <c r="H108" s="52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25">
      <c r="A109" s="53"/>
      <c r="B109" s="53"/>
      <c r="C109" s="53"/>
      <c r="D109" s="53"/>
      <c r="E109" s="53"/>
      <c r="F109" s="53"/>
      <c r="G109" s="52"/>
      <c r="H109" s="52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25">
      <c r="A110" s="53"/>
      <c r="B110" s="53"/>
      <c r="C110" s="53"/>
      <c r="D110" s="53"/>
      <c r="E110" s="53"/>
      <c r="F110" s="53"/>
      <c r="G110" s="52"/>
      <c r="H110" s="52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 x14ac:dyDescent="0.25">
      <c r="A111" s="53"/>
      <c r="B111" s="53"/>
      <c r="C111" s="53"/>
      <c r="D111" s="53"/>
      <c r="E111" s="53"/>
      <c r="F111" s="53"/>
      <c r="G111" s="52"/>
      <c r="H111" s="52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 x14ac:dyDescent="0.25">
      <c r="A112" s="53"/>
      <c r="B112" s="53"/>
      <c r="C112" s="53"/>
      <c r="D112" s="53"/>
      <c r="E112" s="53"/>
      <c r="F112" s="53"/>
      <c r="G112" s="52"/>
      <c r="H112" s="52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 x14ac:dyDescent="0.25">
      <c r="A113" s="53"/>
      <c r="B113" s="53"/>
      <c r="C113" s="53"/>
      <c r="D113" s="53"/>
      <c r="E113" s="53"/>
      <c r="F113" s="53"/>
      <c r="G113" s="52"/>
      <c r="H113" s="52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 x14ac:dyDescent="0.25">
      <c r="A114" s="53"/>
      <c r="B114" s="53"/>
      <c r="C114" s="53"/>
      <c r="D114" s="53"/>
      <c r="E114" s="53"/>
      <c r="F114" s="53"/>
      <c r="G114" s="52"/>
      <c r="H114" s="52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 x14ac:dyDescent="0.25">
      <c r="A115" s="53"/>
      <c r="B115" s="53"/>
      <c r="C115" s="53"/>
      <c r="D115" s="53"/>
      <c r="E115" s="53"/>
      <c r="F115" s="53"/>
      <c r="G115" s="52"/>
      <c r="H115" s="52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 x14ac:dyDescent="0.25">
      <c r="A116" s="53"/>
      <c r="B116" s="53"/>
      <c r="C116" s="53"/>
      <c r="D116" s="53"/>
      <c r="E116" s="53"/>
      <c r="F116" s="53"/>
      <c r="G116" s="52"/>
      <c r="H116" s="52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 x14ac:dyDescent="0.25">
      <c r="A117" s="53"/>
      <c r="B117" s="53"/>
      <c r="C117" s="53"/>
      <c r="D117" s="53"/>
      <c r="E117" s="53"/>
      <c r="F117" s="53"/>
      <c r="G117" s="52"/>
      <c r="H117" s="52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 x14ac:dyDescent="0.25">
      <c r="A118" s="53"/>
      <c r="B118" s="53"/>
      <c r="C118" s="53"/>
      <c r="D118" s="53"/>
      <c r="E118" s="53"/>
      <c r="F118" s="53"/>
      <c r="G118" s="52"/>
      <c r="H118" s="52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 x14ac:dyDescent="0.25">
      <c r="A119" s="53"/>
      <c r="B119" s="53"/>
      <c r="C119" s="53"/>
      <c r="D119" s="53"/>
      <c r="E119" s="53"/>
      <c r="F119" s="53"/>
      <c r="G119" s="52"/>
      <c r="H119" s="52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 x14ac:dyDescent="0.25">
      <c r="A120" s="53"/>
      <c r="B120" s="53"/>
      <c r="C120" s="53"/>
      <c r="D120" s="53"/>
      <c r="E120" s="53"/>
      <c r="F120" s="53"/>
      <c r="G120" s="52"/>
      <c r="H120" s="52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 x14ac:dyDescent="0.25">
      <c r="A121" s="53"/>
      <c r="B121" s="53"/>
      <c r="C121" s="53"/>
      <c r="D121" s="53"/>
      <c r="E121" s="53"/>
      <c r="F121" s="53"/>
      <c r="G121" s="52"/>
      <c r="H121" s="52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 x14ac:dyDescent="0.25">
      <c r="A122" s="53"/>
      <c r="B122" s="53"/>
      <c r="C122" s="53"/>
      <c r="D122" s="53"/>
      <c r="E122" s="53"/>
      <c r="F122" s="53"/>
      <c r="G122" s="52"/>
      <c r="H122" s="52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 x14ac:dyDescent="0.25">
      <c r="A123" s="53"/>
      <c r="B123" s="53"/>
      <c r="C123" s="53"/>
      <c r="D123" s="53"/>
      <c r="E123" s="53"/>
      <c r="F123" s="53"/>
      <c r="G123" s="52"/>
      <c r="H123" s="52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 x14ac:dyDescent="0.25">
      <c r="A124" s="53"/>
      <c r="B124" s="53"/>
      <c r="C124" s="53"/>
      <c r="D124" s="53"/>
      <c r="E124" s="53"/>
      <c r="F124" s="53"/>
      <c r="G124" s="52"/>
      <c r="H124" s="52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 x14ac:dyDescent="0.25">
      <c r="A125" s="53"/>
      <c r="B125" s="53"/>
      <c r="C125" s="53"/>
      <c r="D125" s="53"/>
      <c r="E125" s="53"/>
      <c r="F125" s="53"/>
      <c r="G125" s="52"/>
      <c r="H125" s="52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 x14ac:dyDescent="0.25">
      <c r="A126" s="53"/>
      <c r="B126" s="53"/>
      <c r="C126" s="53"/>
      <c r="D126" s="53"/>
      <c r="E126" s="53"/>
      <c r="F126" s="53"/>
      <c r="G126" s="52"/>
      <c r="H126" s="52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 x14ac:dyDescent="0.25">
      <c r="A127" s="53"/>
      <c r="B127" s="53"/>
      <c r="C127" s="53"/>
      <c r="D127" s="53"/>
      <c r="E127" s="53"/>
      <c r="F127" s="53"/>
      <c r="G127" s="52"/>
      <c r="H127" s="52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 x14ac:dyDescent="0.25">
      <c r="A128" s="53"/>
      <c r="B128" s="53"/>
      <c r="C128" s="53"/>
      <c r="D128" s="53"/>
      <c r="E128" s="53"/>
      <c r="F128" s="53"/>
      <c r="G128" s="52"/>
      <c r="H128" s="52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 x14ac:dyDescent="0.25">
      <c r="A129" s="53"/>
      <c r="B129" s="53"/>
      <c r="C129" s="53"/>
      <c r="D129" s="53"/>
      <c r="E129" s="53"/>
      <c r="F129" s="53"/>
      <c r="G129" s="52"/>
      <c r="H129" s="52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 x14ac:dyDescent="0.25">
      <c r="A130" s="53"/>
      <c r="B130" s="53"/>
      <c r="C130" s="53"/>
      <c r="D130" s="53"/>
      <c r="E130" s="53"/>
      <c r="F130" s="53"/>
      <c r="G130" s="52"/>
      <c r="H130" s="52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 x14ac:dyDescent="0.25">
      <c r="A131" s="53"/>
      <c r="B131" s="53"/>
      <c r="C131" s="53"/>
      <c r="D131" s="53"/>
      <c r="E131" s="53"/>
      <c r="F131" s="53"/>
      <c r="G131" s="52"/>
      <c r="H131" s="52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 x14ac:dyDescent="0.25">
      <c r="A132" s="53"/>
      <c r="B132" s="53"/>
      <c r="C132" s="53"/>
      <c r="D132" s="53"/>
      <c r="E132" s="53"/>
      <c r="F132" s="53"/>
      <c r="G132" s="52"/>
      <c r="H132" s="52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 x14ac:dyDescent="0.25">
      <c r="A133" s="53"/>
      <c r="B133" s="53"/>
      <c r="C133" s="53"/>
      <c r="D133" s="53"/>
      <c r="E133" s="53"/>
      <c r="F133" s="53"/>
      <c r="G133" s="52"/>
      <c r="H133" s="52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 x14ac:dyDescent="0.25">
      <c r="A134" s="53"/>
      <c r="B134" s="53"/>
      <c r="C134" s="53"/>
      <c r="D134" s="53"/>
      <c r="E134" s="53"/>
      <c r="F134" s="53"/>
      <c r="G134" s="52"/>
      <c r="H134" s="52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 x14ac:dyDescent="0.25">
      <c r="A135" s="53"/>
      <c r="B135" s="53"/>
      <c r="C135" s="53"/>
      <c r="D135" s="53"/>
      <c r="E135" s="53"/>
      <c r="F135" s="53"/>
      <c r="G135" s="52"/>
      <c r="H135" s="52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 x14ac:dyDescent="0.25">
      <c r="A136" s="53"/>
      <c r="B136" s="53"/>
      <c r="C136" s="53"/>
      <c r="D136" s="53"/>
      <c r="E136" s="53"/>
      <c r="F136" s="53"/>
      <c r="G136" s="52"/>
      <c r="H136" s="52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 x14ac:dyDescent="0.25">
      <c r="A137" s="53"/>
      <c r="B137" s="53"/>
      <c r="C137" s="53"/>
      <c r="D137" s="53"/>
      <c r="E137" s="53"/>
      <c r="F137" s="53"/>
      <c r="G137" s="52"/>
      <c r="H137" s="52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 x14ac:dyDescent="0.25">
      <c r="A138" s="53"/>
      <c r="B138" s="53"/>
      <c r="C138" s="53"/>
      <c r="D138" s="53"/>
      <c r="E138" s="53"/>
      <c r="F138" s="53"/>
      <c r="G138" s="52"/>
      <c r="H138" s="52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25">
      <c r="A139" s="53"/>
      <c r="B139" s="53"/>
      <c r="C139" s="53"/>
      <c r="D139" s="53"/>
      <c r="E139" s="53"/>
      <c r="F139" s="53"/>
      <c r="G139" s="52"/>
      <c r="H139" s="52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25">
      <c r="A140" s="53"/>
      <c r="B140" s="53"/>
      <c r="C140" s="53"/>
      <c r="D140" s="53"/>
      <c r="E140" s="53"/>
      <c r="F140" s="53"/>
      <c r="G140" s="52"/>
      <c r="H140" s="52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25">
      <c r="A141" s="53"/>
      <c r="B141" s="53"/>
      <c r="C141" s="53"/>
      <c r="D141" s="53"/>
      <c r="E141" s="53"/>
      <c r="F141" s="53"/>
      <c r="G141" s="52"/>
      <c r="H141" s="52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 x14ac:dyDescent="0.25">
      <c r="A142" s="53"/>
      <c r="B142" s="53"/>
      <c r="C142" s="53"/>
      <c r="D142" s="53"/>
      <c r="E142" s="53"/>
      <c r="F142" s="53"/>
      <c r="G142" s="52"/>
      <c r="H142" s="52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 x14ac:dyDescent="0.25">
      <c r="A143" s="53"/>
      <c r="B143" s="53"/>
      <c r="C143" s="53"/>
      <c r="D143" s="53"/>
      <c r="E143" s="53"/>
      <c r="F143" s="53"/>
      <c r="G143" s="52"/>
      <c r="H143" s="52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 x14ac:dyDescent="0.25">
      <c r="A144" s="53"/>
      <c r="B144" s="53"/>
      <c r="C144" s="53"/>
      <c r="D144" s="53"/>
      <c r="E144" s="53"/>
      <c r="F144" s="53"/>
      <c r="G144" s="52"/>
      <c r="H144" s="52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 x14ac:dyDescent="0.25">
      <c r="A145" s="53"/>
      <c r="B145" s="53"/>
      <c r="C145" s="53"/>
      <c r="D145" s="53"/>
      <c r="E145" s="53"/>
      <c r="F145" s="53"/>
      <c r="G145" s="52"/>
      <c r="H145" s="52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 x14ac:dyDescent="0.25">
      <c r="A146" s="53"/>
      <c r="B146" s="53"/>
      <c r="C146" s="53"/>
      <c r="D146" s="53"/>
      <c r="E146" s="53"/>
      <c r="F146" s="53"/>
      <c r="G146" s="52"/>
      <c r="H146" s="52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 x14ac:dyDescent="0.25">
      <c r="A147" s="53"/>
      <c r="B147" s="53"/>
      <c r="C147" s="53"/>
      <c r="D147" s="53"/>
      <c r="E147" s="53"/>
      <c r="F147" s="53"/>
      <c r="G147" s="52"/>
      <c r="H147" s="52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 x14ac:dyDescent="0.25">
      <c r="A148" s="53"/>
      <c r="B148" s="53"/>
      <c r="C148" s="53"/>
      <c r="D148" s="53"/>
      <c r="E148" s="53"/>
      <c r="F148" s="53"/>
      <c r="G148" s="52"/>
      <c r="H148" s="52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 x14ac:dyDescent="0.25">
      <c r="A149" s="53"/>
      <c r="B149" s="53"/>
      <c r="C149" s="53"/>
      <c r="D149" s="53"/>
      <c r="E149" s="53"/>
      <c r="F149" s="53"/>
      <c r="G149" s="52"/>
      <c r="H149" s="52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 x14ac:dyDescent="0.25">
      <c r="A150" s="53"/>
      <c r="B150" s="53"/>
      <c r="C150" s="53"/>
      <c r="D150" s="53"/>
      <c r="E150" s="53"/>
      <c r="F150" s="53"/>
      <c r="G150" s="52"/>
      <c r="H150" s="52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 x14ac:dyDescent="0.25">
      <c r="A151" s="53"/>
      <c r="B151" s="53"/>
      <c r="C151" s="53"/>
      <c r="D151" s="53"/>
      <c r="E151" s="53"/>
      <c r="F151" s="53"/>
      <c r="G151" s="52"/>
      <c r="H151" s="52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 x14ac:dyDescent="0.25">
      <c r="A152" s="53"/>
      <c r="B152" s="53"/>
      <c r="C152" s="53"/>
      <c r="D152" s="53"/>
      <c r="E152" s="53"/>
      <c r="F152" s="53"/>
      <c r="G152" s="52"/>
      <c r="H152" s="52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 x14ac:dyDescent="0.25">
      <c r="A153" s="53"/>
      <c r="B153" s="53"/>
      <c r="C153" s="53"/>
      <c r="D153" s="53"/>
      <c r="E153" s="53"/>
      <c r="F153" s="53"/>
      <c r="G153" s="52"/>
      <c r="H153" s="52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 x14ac:dyDescent="0.25">
      <c r="A154" s="53"/>
      <c r="B154" s="53"/>
      <c r="C154" s="53"/>
      <c r="D154" s="53"/>
      <c r="E154" s="53"/>
      <c r="F154" s="53"/>
      <c r="G154" s="52"/>
      <c r="H154" s="52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 x14ac:dyDescent="0.25">
      <c r="A155" s="53"/>
      <c r="B155" s="53"/>
      <c r="C155" s="53"/>
      <c r="D155" s="53"/>
      <c r="E155" s="53"/>
      <c r="F155" s="53"/>
      <c r="G155" s="52"/>
      <c r="H155" s="52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 x14ac:dyDescent="0.25">
      <c r="A156" s="53"/>
      <c r="B156" s="53"/>
      <c r="C156" s="53"/>
      <c r="D156" s="53"/>
      <c r="E156" s="53"/>
      <c r="F156" s="53"/>
      <c r="G156" s="52"/>
      <c r="H156" s="52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 x14ac:dyDescent="0.25">
      <c r="A157" s="53"/>
      <c r="B157" s="53"/>
      <c r="C157" s="53"/>
      <c r="D157" s="53"/>
      <c r="E157" s="53"/>
      <c r="F157" s="53"/>
      <c r="G157" s="52"/>
      <c r="H157" s="52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 x14ac:dyDescent="0.25">
      <c r="A158" s="53"/>
      <c r="B158" s="53"/>
      <c r="C158" s="53"/>
      <c r="D158" s="53"/>
      <c r="E158" s="53"/>
      <c r="F158" s="53"/>
      <c r="G158" s="52"/>
      <c r="H158" s="52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 x14ac:dyDescent="0.25">
      <c r="A159" s="53"/>
      <c r="B159" s="53"/>
      <c r="C159" s="53"/>
      <c r="D159" s="53"/>
      <c r="E159" s="53"/>
      <c r="F159" s="53"/>
      <c r="G159" s="52"/>
      <c r="H159" s="52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 x14ac:dyDescent="0.25">
      <c r="A160" s="53"/>
      <c r="B160" s="53"/>
      <c r="C160" s="53"/>
      <c r="D160" s="53"/>
      <c r="E160" s="53"/>
      <c r="F160" s="53"/>
      <c r="G160" s="52"/>
      <c r="H160" s="52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 x14ac:dyDescent="0.25">
      <c r="A161" s="53"/>
      <c r="B161" s="53"/>
      <c r="C161" s="53"/>
      <c r="D161" s="53"/>
      <c r="E161" s="53"/>
      <c r="F161" s="53"/>
      <c r="G161" s="52"/>
      <c r="H161" s="52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 x14ac:dyDescent="0.25">
      <c r="A162" s="53"/>
      <c r="B162" s="53"/>
      <c r="C162" s="53"/>
      <c r="D162" s="53"/>
      <c r="E162" s="53"/>
      <c r="F162" s="53"/>
      <c r="G162" s="52"/>
      <c r="H162" s="52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 x14ac:dyDescent="0.25">
      <c r="A163" s="53"/>
      <c r="B163" s="53"/>
      <c r="C163" s="53"/>
      <c r="D163" s="53"/>
      <c r="E163" s="53"/>
      <c r="F163" s="53"/>
      <c r="G163" s="52"/>
      <c r="H163" s="52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 x14ac:dyDescent="0.25">
      <c r="A164" s="53"/>
      <c r="B164" s="53"/>
      <c r="C164" s="53"/>
      <c r="D164" s="53"/>
      <c r="E164" s="53"/>
      <c r="F164" s="53"/>
      <c r="G164" s="52"/>
      <c r="H164" s="52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 x14ac:dyDescent="0.25">
      <c r="A165" s="53"/>
      <c r="B165" s="53"/>
      <c r="C165" s="53"/>
      <c r="D165" s="53"/>
      <c r="E165" s="53"/>
      <c r="F165" s="53"/>
      <c r="G165" s="52"/>
      <c r="H165" s="52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 x14ac:dyDescent="0.25">
      <c r="A166" s="53"/>
      <c r="B166" s="53"/>
      <c r="C166" s="53"/>
      <c r="D166" s="53"/>
      <c r="E166" s="53"/>
      <c r="F166" s="53"/>
      <c r="G166" s="52"/>
      <c r="H166" s="52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 x14ac:dyDescent="0.25">
      <c r="A167" s="53"/>
      <c r="B167" s="53"/>
      <c r="C167" s="53"/>
      <c r="D167" s="53"/>
      <c r="E167" s="53"/>
      <c r="F167" s="53"/>
      <c r="G167" s="52"/>
      <c r="H167" s="52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 x14ac:dyDescent="0.25">
      <c r="A168" s="53"/>
      <c r="B168" s="53"/>
      <c r="C168" s="53"/>
      <c r="D168" s="53"/>
      <c r="E168" s="53"/>
      <c r="F168" s="53"/>
      <c r="G168" s="52"/>
      <c r="H168" s="52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 x14ac:dyDescent="0.25">
      <c r="A169" s="53"/>
      <c r="B169" s="53"/>
      <c r="C169" s="53"/>
      <c r="D169" s="53"/>
      <c r="E169" s="53"/>
      <c r="F169" s="53"/>
      <c r="G169" s="52"/>
      <c r="H169" s="52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 x14ac:dyDescent="0.25">
      <c r="A170" s="53"/>
      <c r="B170" s="53"/>
      <c r="C170" s="53"/>
      <c r="D170" s="53"/>
      <c r="E170" s="53"/>
      <c r="F170" s="53"/>
      <c r="G170" s="52"/>
      <c r="H170" s="52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 x14ac:dyDescent="0.25">
      <c r="A171" s="53"/>
      <c r="B171" s="53"/>
      <c r="C171" s="53"/>
      <c r="D171" s="53"/>
      <c r="E171" s="53"/>
      <c r="F171" s="53"/>
      <c r="G171" s="52"/>
      <c r="H171" s="52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 x14ac:dyDescent="0.25">
      <c r="A172" s="53"/>
      <c r="B172" s="53"/>
      <c r="C172" s="53"/>
      <c r="D172" s="53"/>
      <c r="E172" s="53"/>
      <c r="F172" s="53"/>
      <c r="G172" s="52"/>
      <c r="H172" s="52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 x14ac:dyDescent="0.25">
      <c r="A173" s="53"/>
      <c r="B173" s="53"/>
      <c r="C173" s="53"/>
      <c r="D173" s="53"/>
      <c r="E173" s="53"/>
      <c r="F173" s="53"/>
      <c r="G173" s="52"/>
      <c r="H173" s="52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 x14ac:dyDescent="0.25">
      <c r="A174" s="53"/>
      <c r="B174" s="53"/>
      <c r="C174" s="53"/>
      <c r="D174" s="53"/>
      <c r="E174" s="53"/>
      <c r="F174" s="53"/>
      <c r="G174" s="52"/>
      <c r="H174" s="52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 x14ac:dyDescent="0.25">
      <c r="A175" s="53"/>
      <c r="B175" s="53"/>
      <c r="C175" s="53"/>
      <c r="D175" s="53"/>
      <c r="E175" s="53"/>
      <c r="F175" s="53"/>
      <c r="G175" s="52"/>
      <c r="H175" s="52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 x14ac:dyDescent="0.25">
      <c r="A176" s="53"/>
      <c r="B176" s="53"/>
      <c r="C176" s="53"/>
      <c r="D176" s="53"/>
      <c r="E176" s="53"/>
      <c r="F176" s="53"/>
      <c r="G176" s="52"/>
      <c r="H176" s="52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 x14ac:dyDescent="0.25">
      <c r="A177" s="53"/>
      <c r="B177" s="53"/>
      <c r="C177" s="53"/>
      <c r="D177" s="53"/>
      <c r="E177" s="53"/>
      <c r="F177" s="53"/>
      <c r="G177" s="52"/>
      <c r="H177" s="52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 x14ac:dyDescent="0.25">
      <c r="A178" s="53"/>
      <c r="B178" s="53"/>
      <c r="C178" s="53"/>
      <c r="D178" s="53"/>
      <c r="E178" s="53"/>
      <c r="F178" s="53"/>
      <c r="G178" s="52"/>
      <c r="H178" s="52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 x14ac:dyDescent="0.25">
      <c r="A179" s="53"/>
      <c r="B179" s="53"/>
      <c r="C179" s="53"/>
      <c r="D179" s="53"/>
      <c r="E179" s="53"/>
      <c r="F179" s="53"/>
      <c r="G179" s="52"/>
      <c r="H179" s="52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 x14ac:dyDescent="0.2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 x14ac:dyDescent="0.2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 x14ac:dyDescent="0.2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 x14ac:dyDescent="0.2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 x14ac:dyDescent="0.2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 x14ac:dyDescent="0.2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 x14ac:dyDescent="0.2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 x14ac:dyDescent="0.2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 x14ac:dyDescent="0.2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 x14ac:dyDescent="0.2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 x14ac:dyDescent="0.2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 x14ac:dyDescent="0.2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 x14ac:dyDescent="0.2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 x14ac:dyDescent="0.2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 x14ac:dyDescent="0.2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 x14ac:dyDescent="0.2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 x14ac:dyDescent="0.2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 x14ac:dyDescent="0.2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 x14ac:dyDescent="0.2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 x14ac:dyDescent="0.2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 x14ac:dyDescent="0.2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 x14ac:dyDescent="0.2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 x14ac:dyDescent="0.2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 x14ac:dyDescent="0.2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 x14ac:dyDescent="0.2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 x14ac:dyDescent="0.2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 x14ac:dyDescent="0.2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 x14ac:dyDescent="0.2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 x14ac:dyDescent="0.2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 x14ac:dyDescent="0.2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 x14ac:dyDescent="0.2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 x14ac:dyDescent="0.2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 x14ac:dyDescent="0.2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 x14ac:dyDescent="0.2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 x14ac:dyDescent="0.2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 x14ac:dyDescent="0.2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 x14ac:dyDescent="0.2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 x14ac:dyDescent="0.2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 x14ac:dyDescent="0.2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 x14ac:dyDescent="0.2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 x14ac:dyDescent="0.2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 x14ac:dyDescent="0.2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 x14ac:dyDescent="0.2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</sheetData>
  <mergeCells count="23">
    <mergeCell ref="C12:E12"/>
    <mergeCell ref="C13:D13"/>
    <mergeCell ref="C14:E14"/>
    <mergeCell ref="C16:E16"/>
    <mergeCell ref="A4:I4"/>
    <mergeCell ref="A7:F7"/>
    <mergeCell ref="A9:F9"/>
    <mergeCell ref="C10:E10"/>
    <mergeCell ref="A11:F11"/>
    <mergeCell ref="E28:F28"/>
    <mergeCell ref="C29:E29"/>
    <mergeCell ref="C31:D31"/>
    <mergeCell ref="C17:E17"/>
    <mergeCell ref="C18:F18"/>
    <mergeCell ref="C19:E19"/>
    <mergeCell ref="A27:F27"/>
    <mergeCell ref="C20:F20"/>
    <mergeCell ref="A21:F21"/>
    <mergeCell ref="E22:F22"/>
    <mergeCell ref="C23:E23"/>
    <mergeCell ref="C24:E24"/>
    <mergeCell ref="C25:E25"/>
    <mergeCell ref="D26:E26"/>
  </mergeCells>
  <pageMargins left="0.24" right="0.17" top="0.17" bottom="0.17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HÒN SƠN</vt:lpstr>
      <vt:lpstr>TIMELINE CHƯƠNG TRÌNH HÒN SƠN</vt:lpstr>
      <vt:lpstr>ĐÀ LẠT</vt:lpstr>
      <vt:lpstr>TIMELINE CHƯƠNG TRÌNH ĐÀ LẠT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loi ly</cp:lastModifiedBy>
  <dcterms:created xsi:type="dcterms:W3CDTF">2013-04-09T05:50:10Z</dcterms:created>
  <dcterms:modified xsi:type="dcterms:W3CDTF">2026-06-08T03:07:17Z</dcterms:modified>
</cp:coreProperties>
</file>